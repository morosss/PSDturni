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psd.local\user\psd\aragione\Desktop\"/>
    </mc:Choice>
  </mc:AlternateContent>
  <bookViews>
    <workbookView xWindow="0" yWindow="0" windowWidth="19200" windowHeight="11460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1" l="1"/>
  <c r="F42" i="1"/>
  <c r="F41" i="1"/>
  <c r="F40" i="1"/>
  <c r="F38" i="1"/>
  <c r="F37" i="1"/>
  <c r="F36" i="1"/>
</calcChain>
</file>

<file path=xl/sharedStrings.xml><?xml version="1.0" encoding="utf-8"?>
<sst xmlns="http://schemas.openxmlformats.org/spreadsheetml/2006/main" count="935" uniqueCount="122">
  <si>
    <t>NOVEMBRE</t>
  </si>
  <si>
    <t>SALAseñor</t>
  </si>
  <si>
    <t>SALAjunior</t>
  </si>
  <si>
    <t>REPARTO</t>
  </si>
  <si>
    <t>UTIC</t>
  </si>
  <si>
    <t>PS</t>
  </si>
  <si>
    <t>RAP</t>
  </si>
  <si>
    <t xml:space="preserve">ENI </t>
  </si>
  <si>
    <t xml:space="preserve">VIS 201 </t>
  </si>
  <si>
    <t>VISITE 208</t>
  </si>
  <si>
    <t>TDS 207</t>
  </si>
  <si>
    <t>ECOTT 205</t>
  </si>
  <si>
    <t>ECO 206</t>
  </si>
  <si>
    <t>ECO spec 204</t>
  </si>
  <si>
    <t xml:space="preserve">ECO INT </t>
  </si>
  <si>
    <t>CARDIOCHIR</t>
  </si>
  <si>
    <t>Vicenza</t>
  </si>
  <si>
    <t>Ricerca</t>
  </si>
  <si>
    <t>RISERVE</t>
  </si>
  <si>
    <t>MAT</t>
  </si>
  <si>
    <t>POM</t>
  </si>
  <si>
    <t>MATT</t>
  </si>
  <si>
    <t>NOT</t>
  </si>
  <si>
    <t>GG</t>
  </si>
  <si>
    <t>NTT</t>
  </si>
  <si>
    <t>h 8 - 13</t>
  </si>
  <si>
    <t>SPEC</t>
  </si>
  <si>
    <t xml:space="preserve">h 14 - 18 </t>
  </si>
  <si>
    <t xml:space="preserve">MATT </t>
  </si>
  <si>
    <t>SS</t>
  </si>
  <si>
    <t>sab</t>
  </si>
  <si>
    <t>GRELLI</t>
  </si>
  <si>
    <t>CRISCIONE</t>
  </si>
  <si>
    <t>MAINARDI</t>
  </si>
  <si>
    <t>CHI</t>
  </si>
  <si>
    <t>PIZ</t>
  </si>
  <si>
    <t>ZANNONI</t>
  </si>
  <si>
    <t>SQUILLO</t>
  </si>
  <si>
    <t>VELLA</t>
  </si>
  <si>
    <t>dom</t>
  </si>
  <si>
    <t>SISINNI</t>
  </si>
  <si>
    <t>lun</t>
  </si>
  <si>
    <t>del</t>
  </si>
  <si>
    <t>GUE</t>
  </si>
  <si>
    <t>anto</t>
  </si>
  <si>
    <t>chi</t>
  </si>
  <si>
    <t>cozza</t>
  </si>
  <si>
    <t>squillo</t>
  </si>
  <si>
    <t>borin</t>
  </si>
  <si>
    <t>ANTO</t>
  </si>
  <si>
    <t>guida</t>
  </si>
  <si>
    <t>mazzucca</t>
  </si>
  <si>
    <t>ste</t>
  </si>
  <si>
    <t>lodi</t>
  </si>
  <si>
    <t>gor</t>
  </si>
  <si>
    <t>COZZA</t>
  </si>
  <si>
    <t>tus</t>
  </si>
  <si>
    <t>man</t>
  </si>
  <si>
    <t>MARTA</t>
  </si>
  <si>
    <t>\DEL</t>
  </si>
  <si>
    <t>mar</t>
  </si>
  <si>
    <t>gue</t>
  </si>
  <si>
    <t>criscione</t>
  </si>
  <si>
    <t>mainardi</t>
  </si>
  <si>
    <t>gas</t>
  </si>
  <si>
    <t>VICARIO</t>
  </si>
  <si>
    <t>marta</t>
  </si>
  <si>
    <t>zannoni</t>
  </si>
  <si>
    <t>grelli</t>
  </si>
  <si>
    <t>\BORIN</t>
  </si>
  <si>
    <t>ROJAS</t>
  </si>
  <si>
    <t>BOCCI</t>
  </si>
  <si>
    <t>CENTOLA</t>
  </si>
  <si>
    <t>mer</t>
  </si>
  <si>
    <t>GAS</t>
  </si>
  <si>
    <t>GOR</t>
  </si>
  <si>
    <t>sisinni</t>
  </si>
  <si>
    <t>val</t>
  </si>
  <si>
    <t>\MARTA</t>
  </si>
  <si>
    <t>STE</t>
  </si>
  <si>
    <t>TUS</t>
  </si>
  <si>
    <t>\ZANNONI</t>
  </si>
  <si>
    <t>\MAINARDI</t>
  </si>
  <si>
    <t>gio</t>
  </si>
  <si>
    <t>MAZZUCCA</t>
  </si>
  <si>
    <t>MAN</t>
  </si>
  <si>
    <t>LODI</t>
  </si>
  <si>
    <t>\COZZA</t>
  </si>
  <si>
    <t>ven</t>
  </si>
  <si>
    <t>BORIN</t>
  </si>
  <si>
    <t>lucibello</t>
  </si>
  <si>
    <t>piz</t>
  </si>
  <si>
    <t xml:space="preserve">grelli </t>
  </si>
  <si>
    <t>di sabato</t>
  </si>
  <si>
    <t>BRA</t>
  </si>
  <si>
    <t>\GOR</t>
  </si>
  <si>
    <t>SQUILLO\</t>
  </si>
  <si>
    <t>gor (M)</t>
  </si>
  <si>
    <t>\ANTO</t>
  </si>
  <si>
    <t>VAL</t>
  </si>
  <si>
    <t>vella</t>
  </si>
  <si>
    <t>attanasio</t>
  </si>
  <si>
    <t>\GUE</t>
  </si>
  <si>
    <t>\MAZZUCCA</t>
  </si>
  <si>
    <t>\STE</t>
  </si>
  <si>
    <t>DEL</t>
  </si>
  <si>
    <t>TOM</t>
  </si>
  <si>
    <t>MORO</t>
  </si>
  <si>
    <t>CENTO</t>
  </si>
  <si>
    <t>GRETA</t>
  </si>
  <si>
    <t>PONTRE</t>
  </si>
  <si>
    <t>crisione</t>
  </si>
  <si>
    <t>rojas</t>
  </si>
  <si>
    <t>centola</t>
  </si>
  <si>
    <t>Del Maso</t>
  </si>
  <si>
    <t>Rojas</t>
  </si>
  <si>
    <t>Bocci</t>
  </si>
  <si>
    <t>marta/cozza</t>
  </si>
  <si>
    <t>PIO</t>
  </si>
  <si>
    <t>DelMaso</t>
  </si>
  <si>
    <t>Borin</t>
  </si>
  <si>
    <t>Delmaso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</si>
</sst>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0]mmm\-yy"/>
  </numFmts>
  <fonts count="12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name val="Arial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2"/>
      <color rgb="FF00B050"/>
      <name val="Calibri"/>
      <family val="2"/>
    </font>
    <font>
      <sz val="12"/>
      <name val="Calibri"/>
      <family val="2"/>
    </font>
    <font>
      <b/>
      <sz val="12"/>
      <color rgb="FF7030A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2CC"/>
        <bgColor rgb="FFFFF5CE"/>
      </patternFill>
    </fill>
    <fill>
      <patternFill patternType="solid">
        <fgColor rgb="FFBFBFBF"/>
        <bgColor rgb="FFADB9CA"/>
      </patternFill>
    </fill>
    <fill>
      <patternFill patternType="solid">
        <fgColor rgb="FFFFC000"/>
        <bgColor rgb="FFFF9900"/>
      </patternFill>
    </fill>
    <fill>
      <patternFill patternType="solid">
        <fgColor rgb="FF000000"/>
        <bgColor rgb="FF003300"/>
      </patternFill>
    </fill>
    <fill>
      <patternFill patternType="solid">
        <fgColor rgb="FFADB9CA"/>
        <bgColor rgb="FFBFBFBF"/>
      </patternFill>
    </fill>
    <fill>
      <patternFill patternType="solid">
        <fgColor rgb="FFFF0000"/>
        <bgColor rgb="FFBFBFBF"/>
      </patternFill>
    </fill>
    <fill>
      <patternFill patternType="solid">
        <fgColor rgb="FFFF0000"/>
        <bgColor rgb="FFFFF5CE"/>
      </patternFill>
    </fill>
    <fill>
      <patternFill patternType="solid">
        <fgColor rgb="FFFF0000"/>
        <bgColor rgb="FFADB9CA"/>
      </patternFill>
    </fill>
    <fill>
      <patternFill patternType="solid">
        <fgColor rgb="FFCCCCFF"/>
        <bgColor rgb="FFBFBFBF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9900"/>
      </patternFill>
    </fill>
    <fill>
      <patternFill patternType="solid">
        <fgColor theme="7" tint="0.79998168889431442"/>
        <bgColor rgb="FFFFF5CE"/>
      </patternFill>
    </fill>
    <fill>
      <patternFill patternType="solid">
        <fgColor theme="7" tint="0.79998168889431442"/>
        <bgColor rgb="FFFF9900"/>
      </patternFill>
    </fill>
    <fill>
      <patternFill patternType="solid">
        <fgColor rgb="FFFF0000"/>
        <bgColor rgb="FFFF9900"/>
      </patternFill>
    </fill>
    <fill>
      <patternFill patternType="solid">
        <fgColor rgb="FFFFFF00"/>
        <bgColor rgb="FF003300"/>
      </patternFill>
    </fill>
    <fill>
      <patternFill patternType="solid">
        <fgColor theme="4" tint="0.79998168889431442"/>
        <bgColor rgb="FF003300"/>
      </patternFill>
    </fill>
    <fill>
      <patternFill patternType="solid">
        <fgColor theme="0"/>
        <bgColor rgb="FFFFF5CE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F5CE"/>
      </patternFill>
    </fill>
    <fill>
      <patternFill patternType="solid">
        <fgColor rgb="FFFFFF00"/>
        <bgColor rgb="FFFF9900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3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4" fillId="0" borderId="0" xfId="0" applyFont="1"/>
    <xf numFmtId="0" fontId="2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/>
    </xf>
    <xf numFmtId="0" fontId="2" fillId="3" borderId="7" xfId="1" applyFont="1" applyFill="1" applyBorder="1" applyAlignment="1">
      <alignment horizontal="left"/>
    </xf>
    <xf numFmtId="0" fontId="2" fillId="4" borderId="6" xfId="1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164" fontId="2" fillId="2" borderId="5" xfId="1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164" fontId="2" fillId="3" borderId="7" xfId="1" applyNumberFormat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6" borderId="10" xfId="1" applyFont="1" applyFill="1" applyBorder="1" applyAlignment="1">
      <alignment horizontal="center"/>
    </xf>
    <xf numFmtId="0" fontId="2" fillId="6" borderId="11" xfId="1" applyFont="1" applyFill="1" applyBorder="1" applyAlignment="1">
      <alignment horizontal="center"/>
    </xf>
    <xf numFmtId="16" fontId="4" fillId="7" borderId="12" xfId="0" applyNumberFormat="1" applyFont="1" applyFill="1" applyBorder="1"/>
    <xf numFmtId="0" fontId="5" fillId="7" borderId="13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left"/>
    </xf>
    <xf numFmtId="0" fontId="6" fillId="7" borderId="9" xfId="1" applyFont="1" applyFill="1" applyBorder="1" applyAlignment="1">
      <alignment horizontal="left"/>
    </xf>
    <xf numFmtId="0" fontId="6" fillId="7" borderId="13" xfId="1" applyFont="1" applyFill="1" applyBorder="1" applyAlignment="1">
      <alignment horizontal="left"/>
    </xf>
    <xf numFmtId="0" fontId="4" fillId="7" borderId="12" xfId="1" applyFont="1" applyFill="1" applyBorder="1" applyAlignment="1">
      <alignment horizontal="left"/>
    </xf>
    <xf numFmtId="0" fontId="4" fillId="7" borderId="9" xfId="1" applyFont="1" applyFill="1" applyBorder="1" applyAlignment="1">
      <alignment horizontal="left"/>
    </xf>
    <xf numFmtId="0" fontId="6" fillId="7" borderId="12" xfId="1" applyFont="1" applyFill="1" applyBorder="1" applyAlignment="1">
      <alignment horizontal="left"/>
    </xf>
    <xf numFmtId="0" fontId="6" fillId="8" borderId="13" xfId="1" applyFont="1" applyFill="1" applyBorder="1" applyAlignment="1">
      <alignment horizontal="left"/>
    </xf>
    <xf numFmtId="0" fontId="6" fillId="7" borderId="12" xfId="1" applyFont="1" applyFill="1" applyBorder="1"/>
    <xf numFmtId="0" fontId="6" fillId="7" borderId="9" xfId="1" applyFont="1" applyFill="1" applyBorder="1"/>
    <xf numFmtId="0" fontId="6" fillId="7" borderId="13" xfId="1" applyFont="1" applyFill="1" applyBorder="1"/>
    <xf numFmtId="0" fontId="6" fillId="7" borderId="14" xfId="1" applyFont="1" applyFill="1" applyBorder="1"/>
    <xf numFmtId="0" fontId="4" fillId="7" borderId="12" xfId="1" applyFont="1" applyFill="1" applyBorder="1"/>
    <xf numFmtId="0" fontId="8" fillId="7" borderId="12" xfId="1" applyFont="1" applyFill="1" applyBorder="1" applyAlignment="1">
      <alignment horizontal="left"/>
    </xf>
    <xf numFmtId="0" fontId="6" fillId="7" borderId="15" xfId="1" applyFont="1" applyFill="1" applyBorder="1"/>
    <xf numFmtId="0" fontId="6" fillId="6" borderId="3" xfId="1" applyFont="1" applyFill="1" applyBorder="1"/>
    <xf numFmtId="0" fontId="4" fillId="7" borderId="9" xfId="1" applyFont="1" applyFill="1" applyBorder="1"/>
    <xf numFmtId="0" fontId="4" fillId="7" borderId="9" xfId="0" applyFont="1" applyFill="1" applyBorder="1"/>
    <xf numFmtId="16" fontId="4" fillId="7" borderId="15" xfId="0" applyNumberFormat="1" applyFont="1" applyFill="1" applyBorder="1"/>
    <xf numFmtId="0" fontId="4" fillId="7" borderId="0" xfId="0" applyFont="1" applyFill="1"/>
    <xf numFmtId="0" fontId="8" fillId="7" borderId="12" xfId="1" applyFont="1" applyFill="1" applyBorder="1"/>
    <xf numFmtId="0" fontId="8" fillId="7" borderId="9" xfId="1" applyFont="1" applyFill="1" applyBorder="1"/>
    <xf numFmtId="0" fontId="8" fillId="7" borderId="13" xfId="1" applyFont="1" applyFill="1" applyBorder="1"/>
    <xf numFmtId="0" fontId="4" fillId="7" borderId="13" xfId="1" applyFont="1" applyFill="1" applyBorder="1"/>
    <xf numFmtId="16" fontId="4" fillId="0" borderId="12" xfId="0" applyNumberFormat="1" applyFont="1" applyBorder="1"/>
    <xf numFmtId="0" fontId="5" fillId="2" borderId="1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2" borderId="12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  <xf numFmtId="0" fontId="6" fillId="3" borderId="9" xfId="1" applyFont="1" applyFill="1" applyBorder="1" applyAlignment="1">
      <alignment horizontal="left"/>
    </xf>
    <xf numFmtId="0" fontId="6" fillId="9" borderId="13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0" fontId="4" fillId="3" borderId="9" xfId="1" applyFont="1" applyFill="1" applyBorder="1" applyAlignment="1">
      <alignment horizontal="left"/>
    </xf>
    <xf numFmtId="0" fontId="4" fillId="9" borderId="13" xfId="1" applyFont="1" applyFill="1" applyBorder="1" applyAlignment="1">
      <alignment horizontal="left"/>
    </xf>
    <xf numFmtId="0" fontId="7" fillId="4" borderId="13" xfId="1" applyFont="1" applyFill="1" applyBorder="1" applyAlignment="1">
      <alignment horizontal="left"/>
    </xf>
    <xf numFmtId="0" fontId="7" fillId="2" borderId="12" xfId="1" applyFont="1" applyFill="1" applyBorder="1" applyAlignment="1">
      <alignment horizontal="left"/>
    </xf>
    <xf numFmtId="0" fontId="7" fillId="10" borderId="13" xfId="1" applyFont="1" applyFill="1" applyBorder="1" applyAlignment="1">
      <alignment horizontal="left"/>
    </xf>
    <xf numFmtId="0" fontId="6" fillId="2" borderId="12" xfId="1" applyFont="1" applyFill="1" applyBorder="1"/>
    <xf numFmtId="0" fontId="6" fillId="11" borderId="9" xfId="1" applyFont="1" applyFill="1" applyBorder="1"/>
    <xf numFmtId="0" fontId="6" fillId="3" borderId="9" xfId="1" applyFont="1" applyFill="1" applyBorder="1"/>
    <xf numFmtId="0" fontId="6" fillId="2" borderId="14" xfId="1" applyFont="1" applyFill="1" applyBorder="1"/>
    <xf numFmtId="0" fontId="4" fillId="12" borderId="12" xfId="1" applyFont="1" applyFill="1" applyBorder="1"/>
    <xf numFmtId="0" fontId="6" fillId="9" borderId="13" xfId="1" applyFont="1" applyFill="1" applyBorder="1"/>
    <xf numFmtId="0" fontId="7" fillId="2" borderId="12" xfId="1" applyFont="1" applyFill="1" applyBorder="1"/>
    <xf numFmtId="0" fontId="6" fillId="3" borderId="13" xfId="1" applyFont="1" applyFill="1" applyBorder="1"/>
    <xf numFmtId="0" fontId="6" fillId="6" borderId="13" xfId="1" applyFont="1" applyFill="1" applyBorder="1"/>
    <xf numFmtId="0" fontId="4" fillId="13" borderId="12" xfId="1" applyFont="1" applyFill="1" applyBorder="1"/>
    <xf numFmtId="0" fontId="4" fillId="2" borderId="12" xfId="1" applyFont="1" applyFill="1" applyBorder="1"/>
    <xf numFmtId="0" fontId="6" fillId="6" borderId="15" xfId="1" applyFont="1" applyFill="1" applyBorder="1"/>
    <xf numFmtId="0" fontId="4" fillId="14" borderId="12" xfId="1" applyFont="1" applyFill="1" applyBorder="1"/>
    <xf numFmtId="0" fontId="4" fillId="15" borderId="9" xfId="1" applyFont="1" applyFill="1" applyBorder="1"/>
    <xf numFmtId="0" fontId="4" fillId="16" borderId="12" xfId="1" applyFont="1" applyFill="1" applyBorder="1"/>
    <xf numFmtId="0" fontId="4" fillId="17" borderId="9" xfId="1" applyFont="1" applyFill="1" applyBorder="1"/>
    <xf numFmtId="0" fontId="4" fillId="16" borderId="9" xfId="1" applyFont="1" applyFill="1" applyBorder="1"/>
    <xf numFmtId="0" fontId="4" fillId="0" borderId="9" xfId="0" applyFont="1" applyBorder="1"/>
    <xf numFmtId="16" fontId="4" fillId="0" borderId="15" xfId="0" applyNumberFormat="1" applyFont="1" applyBorder="1"/>
    <xf numFmtId="0" fontId="6" fillId="3" borderId="13" xfId="1" applyFont="1" applyFill="1" applyBorder="1" applyAlignment="1">
      <alignment horizontal="left"/>
    </xf>
    <xf numFmtId="0" fontId="9" fillId="2" borderId="12" xfId="1" applyFont="1" applyFill="1" applyBorder="1" applyAlignment="1">
      <alignment horizontal="left"/>
    </xf>
    <xf numFmtId="0" fontId="9" fillId="3" borderId="9" xfId="1" applyFont="1" applyFill="1" applyBorder="1" applyAlignment="1">
      <alignment horizontal="left"/>
    </xf>
    <xf numFmtId="0" fontId="4" fillId="2" borderId="12" xfId="1" applyFont="1" applyFill="1" applyBorder="1" applyAlignment="1">
      <alignment horizontal="left"/>
    </xf>
    <xf numFmtId="0" fontId="6" fillId="6" borderId="9" xfId="1" applyFont="1" applyFill="1" applyBorder="1"/>
    <xf numFmtId="0" fontId="6" fillId="12" borderId="12" xfId="1" applyFont="1" applyFill="1" applyBorder="1"/>
    <xf numFmtId="0" fontId="6" fillId="2" borderId="12" xfId="0" applyFont="1" applyFill="1" applyBorder="1"/>
    <xf numFmtId="0" fontId="6" fillId="5" borderId="13" xfId="1" applyFont="1" applyFill="1" applyBorder="1"/>
    <xf numFmtId="0" fontId="6" fillId="0" borderId="12" xfId="1" applyFont="1" applyBorder="1"/>
    <xf numFmtId="0" fontId="4" fillId="15" borderId="12" xfId="1" applyFont="1" applyFill="1" applyBorder="1"/>
    <xf numFmtId="0" fontId="4" fillId="14" borderId="9" xfId="1" applyFont="1" applyFill="1" applyBorder="1"/>
    <xf numFmtId="0" fontId="6" fillId="16" borderId="9" xfId="0" applyFont="1" applyFill="1" applyBorder="1"/>
    <xf numFmtId="0" fontId="9" fillId="2" borderId="9" xfId="1" applyFont="1" applyFill="1" applyBorder="1" applyAlignment="1">
      <alignment horizontal="left"/>
    </xf>
    <xf numFmtId="0" fontId="6" fillId="9" borderId="9" xfId="1" applyFont="1" applyFill="1" applyBorder="1"/>
    <xf numFmtId="0" fontId="6" fillId="18" borderId="13" xfId="1" applyFont="1" applyFill="1" applyBorder="1"/>
    <xf numFmtId="0" fontId="4" fillId="14" borderId="12" xfId="1" applyFont="1" applyFill="1" applyBorder="1" applyAlignment="1">
      <alignment horizontal="left"/>
    </xf>
    <xf numFmtId="0" fontId="4" fillId="14" borderId="9" xfId="1" applyFont="1" applyFill="1" applyBorder="1" applyAlignment="1">
      <alignment horizontal="left"/>
    </xf>
    <xf numFmtId="0" fontId="6" fillId="15" borderId="9" xfId="0" applyFont="1" applyFill="1" applyBorder="1"/>
    <xf numFmtId="0" fontId="6" fillId="16" borderId="12" xfId="1" applyFont="1" applyFill="1" applyBorder="1"/>
    <xf numFmtId="0" fontId="6" fillId="17" borderId="9" xfId="1" applyFont="1" applyFill="1" applyBorder="1"/>
    <xf numFmtId="0" fontId="6" fillId="17" borderId="9" xfId="0" applyFont="1" applyFill="1" applyBorder="1"/>
    <xf numFmtId="0" fontId="6" fillId="12" borderId="9" xfId="1" applyFont="1" applyFill="1" applyBorder="1" applyAlignment="1">
      <alignment horizontal="left"/>
    </xf>
    <xf numFmtId="0" fontId="6" fillId="6" borderId="12" xfId="1" applyFont="1" applyFill="1" applyBorder="1"/>
    <xf numFmtId="0" fontId="4" fillId="0" borderId="12" xfId="1" applyFont="1" applyBorder="1"/>
    <xf numFmtId="0" fontId="6" fillId="0" borderId="12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10" borderId="13" xfId="0" applyFont="1" applyFill="1" applyBorder="1" applyAlignment="1">
      <alignment horizontal="left"/>
    </xf>
    <xf numFmtId="0" fontId="6" fillId="19" borderId="15" xfId="1" applyFont="1" applyFill="1" applyBorder="1"/>
    <xf numFmtId="0" fontId="4" fillId="17" borderId="12" xfId="1" applyFont="1" applyFill="1" applyBorder="1"/>
    <xf numFmtId="0" fontId="9" fillId="0" borderId="9" xfId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0" fontId="6" fillId="20" borderId="3" xfId="1" applyFont="1" applyFill="1" applyBorder="1"/>
    <xf numFmtId="0" fontId="10" fillId="3" borderId="9" xfId="1" applyFont="1" applyFill="1" applyBorder="1" applyAlignment="1">
      <alignment horizontal="left"/>
    </xf>
    <xf numFmtId="0" fontId="6" fillId="14" borderId="9" xfId="0" applyFont="1" applyFill="1" applyBorder="1"/>
    <xf numFmtId="0" fontId="6" fillId="17" borderId="12" xfId="1" applyFont="1" applyFill="1" applyBorder="1"/>
    <xf numFmtId="0" fontId="6" fillId="16" borderId="9" xfId="1" applyFont="1" applyFill="1" applyBorder="1"/>
    <xf numFmtId="0" fontId="10" fillId="0" borderId="9" xfId="1" applyFont="1" applyBorder="1" applyAlignment="1">
      <alignment horizontal="left"/>
    </xf>
    <xf numFmtId="0" fontId="9" fillId="7" borderId="9" xfId="1" applyFont="1" applyFill="1" applyBorder="1" applyAlignment="1">
      <alignment horizontal="left"/>
    </xf>
    <xf numFmtId="0" fontId="4" fillId="3" borderId="13" xfId="1" applyFont="1" applyFill="1" applyBorder="1" applyAlignment="1">
      <alignment horizontal="left"/>
    </xf>
    <xf numFmtId="0" fontId="9" fillId="9" borderId="13" xfId="1" applyFont="1" applyFill="1" applyBorder="1" applyAlignment="1">
      <alignment horizontal="left"/>
    </xf>
    <xf numFmtId="0" fontId="6" fillId="14" borderId="12" xfId="1" applyFont="1" applyFill="1" applyBorder="1"/>
    <xf numFmtId="0" fontId="9" fillId="3" borderId="13" xfId="1" applyFont="1" applyFill="1" applyBorder="1" applyAlignment="1">
      <alignment horizontal="left"/>
    </xf>
    <xf numFmtId="0" fontId="6" fillId="14" borderId="12" xfId="0" applyFont="1" applyFill="1" applyBorder="1"/>
    <xf numFmtId="0" fontId="7" fillId="14" borderId="12" xfId="1" applyFont="1" applyFill="1" applyBorder="1"/>
    <xf numFmtId="0" fontId="4" fillId="12" borderId="9" xfId="1" applyFont="1" applyFill="1" applyBorder="1" applyAlignment="1">
      <alignment horizontal="left"/>
    </xf>
    <xf numFmtId="0" fontId="4" fillId="13" borderId="9" xfId="1" applyFont="1" applyFill="1" applyBorder="1" applyAlignment="1">
      <alignment horizontal="left"/>
    </xf>
    <xf numFmtId="0" fontId="6" fillId="21" borderId="13" xfId="1" applyFont="1" applyFill="1" applyBorder="1"/>
    <xf numFmtId="0" fontId="6" fillId="14" borderId="14" xfId="1" applyFont="1" applyFill="1" applyBorder="1"/>
    <xf numFmtId="0" fontId="0" fillId="22" borderId="0" xfId="0" applyFill="1"/>
    <xf numFmtId="0" fontId="6" fillId="23" borderId="12" xfId="1" applyFont="1" applyFill="1" applyBorder="1"/>
    <xf numFmtId="0" fontId="6" fillId="8" borderId="13" xfId="1" applyFont="1" applyFill="1" applyBorder="1"/>
    <xf numFmtId="0" fontId="6" fillId="16" borderId="13" xfId="1" applyFont="1" applyFill="1" applyBorder="1"/>
    <xf numFmtId="0" fontId="10" fillId="2" borderId="12" xfId="1" applyFont="1" applyFill="1" applyBorder="1"/>
    <xf numFmtId="0" fontId="11" fillId="14" borderId="12" xfId="1" applyFont="1" applyFill="1" applyBorder="1"/>
    <xf numFmtId="0" fontId="11" fillId="16" borderId="9" xfId="1" applyFont="1" applyFill="1" applyBorder="1"/>
    <xf numFmtId="0" fontId="11" fillId="5" borderId="13" xfId="1" applyFont="1" applyFill="1" applyBorder="1"/>
    <xf numFmtId="0" fontId="11" fillId="14" borderId="14" xfId="1" applyFont="1" applyFill="1" applyBorder="1"/>
    <xf numFmtId="0" fontId="11" fillId="14" borderId="12" xfId="0" applyFont="1" applyFill="1" applyBorder="1"/>
    <xf numFmtId="0" fontId="11" fillId="16" borderId="13" xfId="1" applyFont="1" applyFill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11" fillId="3" borderId="9" xfId="1" applyFont="1" applyFill="1" applyBorder="1" applyAlignment="1">
      <alignment horizontal="left"/>
    </xf>
    <xf numFmtId="0" fontId="10" fillId="14" borderId="12" xfId="1" applyFont="1" applyFill="1" applyBorder="1"/>
    <xf numFmtId="0" fontId="11" fillId="2" borderId="12" xfId="1" applyFont="1" applyFill="1" applyBorder="1"/>
    <xf numFmtId="0" fontId="11" fillId="18" borderId="13" xfId="1" applyFont="1" applyFill="1" applyBorder="1"/>
    <xf numFmtId="0" fontId="10" fillId="2" borderId="12" xfId="1" applyFont="1" applyFill="1" applyBorder="1" applyAlignment="1">
      <alignment horizontal="left"/>
    </xf>
    <xf numFmtId="0" fontId="10" fillId="4" borderId="13" xfId="1" applyFont="1" applyFill="1" applyBorder="1" applyAlignment="1">
      <alignment horizontal="left"/>
    </xf>
    <xf numFmtId="0" fontId="10" fillId="4" borderId="13" xfId="0" applyFont="1" applyFill="1" applyBorder="1" applyAlignment="1">
      <alignment horizontal="left"/>
    </xf>
    <xf numFmtId="0" fontId="11" fillId="9" borderId="13" xfId="1" applyFont="1" applyFill="1" applyBorder="1"/>
    <xf numFmtId="0" fontId="11" fillId="3" borderId="9" xfId="1" applyFont="1" applyFill="1" applyBorder="1"/>
    <xf numFmtId="0" fontId="10" fillId="5" borderId="13" xfId="1" applyFont="1" applyFill="1" applyBorder="1"/>
    <xf numFmtId="0" fontId="6" fillId="24" borderId="14" xfId="1" applyFont="1" applyFill="1" applyBorder="1"/>
    <xf numFmtId="0" fontId="6" fillId="24" borderId="12" xfId="1" applyFont="1" applyFill="1" applyBorder="1"/>
    <xf numFmtId="0" fontId="6" fillId="25" borderId="9" xfId="1" applyFont="1" applyFill="1" applyBorder="1"/>
    <xf numFmtId="0" fontId="6" fillId="26" borderId="13" xfId="1" applyFont="1" applyFill="1" applyBorder="1"/>
    <xf numFmtId="0" fontId="6" fillId="25" borderId="13" xfId="1" applyFont="1" applyFill="1" applyBorder="1"/>
    <xf numFmtId="0" fontId="7" fillId="7" borderId="12" xfId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Excel Built-in Normal" xfId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U43"/>
  <sheetViews>
    <sheetView tabSelected="1" topLeftCell="R1" zoomScale="70" zoomScaleNormal="70" workbookViewId="0">
      <selection activeCell="AD22" sqref="AD22"/>
    </sheetView>
  </sheetViews>
  <sheetFormatPr defaultRowHeight="15" x14ac:dyDescent="0.25"/>
  <cols>
    <col min="3" max="4" width="0" hidden="1" customWidth="1"/>
    <col min="5" max="5" width="10.140625" bestFit="1" customWidth="1"/>
    <col min="7" max="8" width="10.140625" bestFit="1" customWidth="1"/>
    <col min="9" max="9" width="10" bestFit="1" customWidth="1"/>
    <col min="10" max="10" width="11.7109375" bestFit="1" customWidth="1"/>
    <col min="11" max="12" width="11.5703125" bestFit="1" customWidth="1"/>
    <col min="13" max="13" width="11.7109375" bestFit="1" customWidth="1"/>
    <col min="15" max="15" width="11.140625" customWidth="1"/>
    <col min="16" max="16" width="10.140625" bestFit="1" customWidth="1"/>
    <col min="17" max="18" width="12.140625" bestFit="1" customWidth="1"/>
    <col min="19" max="19" width="10.42578125" bestFit="1" customWidth="1"/>
    <col min="20" max="21" width="11.140625" bestFit="1" customWidth="1"/>
    <col min="22" max="22" width="10.5703125" bestFit="1" customWidth="1"/>
    <col min="24" max="24" width="10.140625" bestFit="1" customWidth="1"/>
    <col min="27" max="27" width="10.140625" bestFit="1" customWidth="1"/>
    <col min="28" max="28" width="10" bestFit="1" customWidth="1"/>
    <col min="29" max="29" width="10.140625" bestFit="1" customWidth="1"/>
    <col min="30" max="31" width="10.5703125" bestFit="1" customWidth="1"/>
    <col min="32" max="32" width="10.140625" bestFit="1" customWidth="1"/>
    <col min="34" max="34" width="10.5703125" bestFit="1" customWidth="1"/>
    <col min="35" max="35" width="10" bestFit="1" customWidth="1"/>
    <col min="37" max="37" width="10.5703125" bestFit="1" customWidth="1"/>
    <col min="38" max="38" width="9.7109375" customWidth="1"/>
    <col min="39" max="39" width="10.5703125" bestFit="1" customWidth="1"/>
    <col min="40" max="40" width="10.140625" bestFit="1" customWidth="1"/>
    <col min="41" max="42" width="10.5703125" bestFit="1" customWidth="1"/>
    <col min="44" max="44" width="8.28515625" bestFit="1" customWidth="1"/>
    <col min="46" max="46" width="10.140625" bestFit="1" customWidth="1"/>
    <col min="48" max="48" width="10.140625" bestFit="1" customWidth="1"/>
    <col min="56" max="56" width="11.140625" bestFit="1" customWidth="1"/>
    <col min="69" max="69" width="10.7109375" bestFit="1" customWidth="1"/>
    <col min="70" max="70" width="10" bestFit="1" customWidth="1"/>
    <col min="74" max="74" width="12.5703125" bestFit="1" customWidth="1"/>
    <col min="77" max="77" width="9.85546875" bestFit="1" customWidth="1"/>
    <col min="79" max="79" width="11.5703125" bestFit="1" customWidth="1"/>
  </cols>
  <sheetData>
    <row r="1" spans="1:1009" ht="16.5" thickBot="1" x14ac:dyDescent="0.3">
      <c r="A1" s="171" t="s">
        <v>0</v>
      </c>
      <c r="B1" s="171"/>
      <c r="C1" s="172" t="s">
        <v>1</v>
      </c>
      <c r="D1" s="172"/>
      <c r="E1" s="166" t="s">
        <v>2</v>
      </c>
      <c r="F1" s="166"/>
      <c r="G1" s="166"/>
      <c r="H1" s="166"/>
      <c r="I1" s="166" t="s">
        <v>3</v>
      </c>
      <c r="J1" s="166"/>
      <c r="K1" s="166"/>
      <c r="L1" s="166"/>
      <c r="M1" s="166"/>
      <c r="N1" s="166"/>
      <c r="O1" s="166" t="s">
        <v>4</v>
      </c>
      <c r="P1" s="166"/>
      <c r="Q1" s="166"/>
      <c r="R1" s="165" t="s">
        <v>5</v>
      </c>
      <c r="S1" s="165"/>
      <c r="T1" s="165" t="s">
        <v>6</v>
      </c>
      <c r="U1" s="165"/>
      <c r="V1" s="166" t="s">
        <v>7</v>
      </c>
      <c r="W1" s="166"/>
      <c r="X1" s="166"/>
      <c r="Y1" s="166"/>
      <c r="Z1" s="1" t="s">
        <v>8</v>
      </c>
      <c r="AA1" s="166" t="s">
        <v>9</v>
      </c>
      <c r="AB1" s="166"/>
      <c r="AC1" s="166" t="s">
        <v>10</v>
      </c>
      <c r="AD1" s="166"/>
      <c r="AE1" s="165" t="s">
        <v>11</v>
      </c>
      <c r="AF1" s="165"/>
      <c r="AG1" s="165"/>
      <c r="AH1" s="165" t="s">
        <v>12</v>
      </c>
      <c r="AI1" s="165"/>
      <c r="AJ1" s="165"/>
      <c r="AK1" s="165" t="s">
        <v>13</v>
      </c>
      <c r="AL1" s="165"/>
      <c r="AM1" s="165" t="s">
        <v>14</v>
      </c>
      <c r="AN1" s="165"/>
      <c r="AO1" s="166" t="s">
        <v>15</v>
      </c>
      <c r="AP1" s="166"/>
      <c r="AQ1" s="2" t="s">
        <v>16</v>
      </c>
      <c r="AR1" s="3" t="s">
        <v>17</v>
      </c>
      <c r="AS1" s="4"/>
      <c r="AT1" s="166" t="s">
        <v>18</v>
      </c>
      <c r="AU1" s="166"/>
      <c r="AV1" s="166"/>
      <c r="AW1" s="166"/>
      <c r="AX1" s="166"/>
      <c r="AY1" s="166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09" ht="16.5" thickBot="1" x14ac:dyDescent="0.3">
      <c r="A2" s="171"/>
      <c r="B2" s="171"/>
      <c r="C2" s="6" t="s">
        <v>19</v>
      </c>
      <c r="D2" s="7" t="s">
        <v>20</v>
      </c>
      <c r="E2" s="167" t="s">
        <v>21</v>
      </c>
      <c r="F2" s="167"/>
      <c r="G2" s="168" t="s">
        <v>20</v>
      </c>
      <c r="H2" s="168"/>
      <c r="I2" s="167" t="s">
        <v>21</v>
      </c>
      <c r="J2" s="167"/>
      <c r="K2" s="167"/>
      <c r="L2" s="168" t="s">
        <v>20</v>
      </c>
      <c r="M2" s="168"/>
      <c r="N2" s="168"/>
      <c r="O2" s="8" t="s">
        <v>21</v>
      </c>
      <c r="P2" s="9" t="s">
        <v>20</v>
      </c>
      <c r="Q2" s="10" t="s">
        <v>22</v>
      </c>
      <c r="R2" s="11" t="s">
        <v>23</v>
      </c>
      <c r="S2" s="12" t="s">
        <v>24</v>
      </c>
      <c r="T2" s="11" t="s">
        <v>23</v>
      </c>
      <c r="U2" s="12" t="s">
        <v>24</v>
      </c>
      <c r="V2" s="13" t="s">
        <v>25</v>
      </c>
      <c r="W2" s="14" t="s">
        <v>26</v>
      </c>
      <c r="X2" s="15" t="s">
        <v>27</v>
      </c>
      <c r="Y2" s="16" t="s">
        <v>26</v>
      </c>
      <c r="Z2" s="17" t="s">
        <v>28</v>
      </c>
      <c r="AA2" s="18" t="s">
        <v>21</v>
      </c>
      <c r="AB2" s="19" t="s">
        <v>20</v>
      </c>
      <c r="AC2" s="18" t="s">
        <v>21</v>
      </c>
      <c r="AD2" s="19" t="s">
        <v>20</v>
      </c>
      <c r="AE2" s="20" t="s">
        <v>21</v>
      </c>
      <c r="AF2" s="21" t="s">
        <v>20</v>
      </c>
      <c r="AG2" s="22" t="s">
        <v>29</v>
      </c>
      <c r="AH2" s="23" t="s">
        <v>28</v>
      </c>
      <c r="AI2" s="21" t="s">
        <v>20</v>
      </c>
      <c r="AJ2" s="22" t="s">
        <v>29</v>
      </c>
      <c r="AK2" s="20" t="s">
        <v>21</v>
      </c>
      <c r="AL2" s="24" t="s">
        <v>20</v>
      </c>
      <c r="AM2" s="20" t="s">
        <v>21</v>
      </c>
      <c r="AN2" s="24" t="s">
        <v>20</v>
      </c>
      <c r="AO2" s="18" t="s">
        <v>28</v>
      </c>
      <c r="AP2" s="19" t="s">
        <v>20</v>
      </c>
      <c r="AQ2" s="25" t="s">
        <v>23</v>
      </c>
      <c r="AR2" s="26"/>
      <c r="AS2" s="27"/>
      <c r="AT2" s="169" t="s">
        <v>21</v>
      </c>
      <c r="AU2" s="169"/>
      <c r="AV2" s="170" t="s">
        <v>20</v>
      </c>
      <c r="AW2" s="170"/>
      <c r="AX2" s="170"/>
      <c r="AY2" s="170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09" s="49" customFormat="1" ht="15.75" x14ac:dyDescent="0.25">
      <c r="A3" s="28">
        <v>45962</v>
      </c>
      <c r="B3" s="29" t="s">
        <v>30</v>
      </c>
      <c r="C3" s="30"/>
      <c r="D3" s="29"/>
      <c r="E3" s="31"/>
      <c r="F3" s="32"/>
      <c r="G3" s="32"/>
      <c r="H3" s="33"/>
      <c r="I3" s="34"/>
      <c r="J3" s="35"/>
      <c r="K3" s="35"/>
      <c r="L3" s="35"/>
      <c r="M3" s="32"/>
      <c r="N3" s="33"/>
      <c r="O3" s="164" t="s">
        <v>31</v>
      </c>
      <c r="P3" s="164"/>
      <c r="Q3" s="33" t="s">
        <v>32</v>
      </c>
      <c r="R3" s="36" t="s">
        <v>33</v>
      </c>
      <c r="S3" s="37"/>
      <c r="T3" s="36" t="s">
        <v>32</v>
      </c>
      <c r="U3" s="33" t="s">
        <v>31</v>
      </c>
      <c r="V3" s="38"/>
      <c r="W3" s="39"/>
      <c r="X3" s="39"/>
      <c r="Y3" s="40"/>
      <c r="Z3" s="41"/>
      <c r="AA3" s="42"/>
      <c r="AB3" s="40"/>
      <c r="AC3" s="38"/>
      <c r="AD3" s="40"/>
      <c r="AE3" s="42"/>
      <c r="AF3" s="39"/>
      <c r="AG3" s="40"/>
      <c r="AH3" s="38"/>
      <c r="AI3" s="39"/>
      <c r="AJ3" s="40"/>
      <c r="AK3" s="42"/>
      <c r="AL3" s="40"/>
      <c r="AM3" s="43"/>
      <c r="AN3" s="33"/>
      <c r="AO3" s="38"/>
      <c r="AP3" s="40"/>
      <c r="AQ3" s="44"/>
      <c r="AR3" s="45"/>
      <c r="AS3" s="28">
        <v>45962</v>
      </c>
      <c r="AT3" s="42"/>
      <c r="AU3" s="46"/>
      <c r="AV3" s="42"/>
      <c r="AW3" s="46"/>
      <c r="AX3" s="46"/>
      <c r="AY3" s="46"/>
      <c r="AZ3" s="28">
        <v>45962</v>
      </c>
      <c r="BA3" s="47"/>
      <c r="BB3" s="47"/>
      <c r="BC3" s="47" t="s">
        <v>34</v>
      </c>
      <c r="BD3" s="47"/>
      <c r="BE3" s="47"/>
      <c r="BF3" s="47"/>
      <c r="BG3" s="47"/>
      <c r="BH3" s="47"/>
      <c r="BI3" s="47"/>
      <c r="BJ3" s="47" t="s">
        <v>35</v>
      </c>
      <c r="BK3" s="47"/>
      <c r="BL3" s="47"/>
      <c r="BM3" s="47"/>
      <c r="BN3" s="47"/>
      <c r="BO3" s="47"/>
      <c r="BP3" s="47"/>
      <c r="BQ3" s="47" t="s">
        <v>36</v>
      </c>
      <c r="BR3" s="47" t="s">
        <v>37</v>
      </c>
      <c r="BS3" s="47"/>
      <c r="BT3" s="47"/>
      <c r="BU3" s="47"/>
      <c r="BV3" s="47"/>
      <c r="BW3" s="47" t="s">
        <v>38</v>
      </c>
      <c r="BX3" s="47"/>
      <c r="BY3" s="47"/>
      <c r="BZ3" s="47"/>
      <c r="CA3" s="47"/>
      <c r="CB3" s="48">
        <v>45962</v>
      </c>
    </row>
    <row r="4" spans="1:1009" s="49" customFormat="1" ht="15.75" x14ac:dyDescent="0.25">
      <c r="A4" s="28">
        <v>45963</v>
      </c>
      <c r="B4" s="29" t="s">
        <v>39</v>
      </c>
      <c r="C4" s="30"/>
      <c r="D4" s="29"/>
      <c r="E4" s="31"/>
      <c r="F4" s="32"/>
      <c r="G4" s="32"/>
      <c r="H4" s="33"/>
      <c r="I4" s="34"/>
      <c r="J4" s="35"/>
      <c r="K4" s="35"/>
      <c r="L4" s="35"/>
      <c r="M4" s="32"/>
      <c r="N4" s="33"/>
      <c r="O4" s="164" t="s">
        <v>40</v>
      </c>
      <c r="P4" s="164"/>
      <c r="Q4" s="33" t="s">
        <v>31</v>
      </c>
      <c r="R4" s="36" t="s">
        <v>33</v>
      </c>
      <c r="S4" s="37"/>
      <c r="T4" s="36" t="s">
        <v>32</v>
      </c>
      <c r="U4" s="33" t="s">
        <v>32</v>
      </c>
      <c r="V4" s="38"/>
      <c r="W4" s="39"/>
      <c r="X4" s="39"/>
      <c r="Y4" s="40"/>
      <c r="Z4" s="41"/>
      <c r="AA4" s="50"/>
      <c r="AB4" s="40"/>
      <c r="AC4" s="38"/>
      <c r="AD4" s="40"/>
      <c r="AE4" s="42"/>
      <c r="AF4" s="39"/>
      <c r="AG4" s="40"/>
      <c r="AH4" s="50"/>
      <c r="AI4" s="51"/>
      <c r="AJ4" s="52"/>
      <c r="AK4" s="42"/>
      <c r="AL4" s="53"/>
      <c r="AM4" s="50"/>
      <c r="AN4" s="52"/>
      <c r="AO4" s="38"/>
      <c r="AP4" s="40"/>
      <c r="AQ4" s="44"/>
      <c r="AR4" s="45"/>
      <c r="AS4" s="28">
        <v>45963</v>
      </c>
      <c r="AT4" s="42"/>
      <c r="AU4" s="46"/>
      <c r="AV4" s="42"/>
      <c r="AW4" s="46"/>
      <c r="AX4" s="46"/>
      <c r="AY4" s="46"/>
      <c r="AZ4" s="28">
        <v>45963</v>
      </c>
      <c r="BA4" s="47"/>
      <c r="BB4" s="47"/>
      <c r="BC4" s="47" t="s">
        <v>34</v>
      </c>
      <c r="BD4" s="47"/>
      <c r="BE4" s="47"/>
      <c r="BF4" s="47"/>
      <c r="BG4" s="47"/>
      <c r="BH4" s="47"/>
      <c r="BI4" s="47"/>
      <c r="BJ4" s="47" t="s">
        <v>35</v>
      </c>
      <c r="BK4" s="47"/>
      <c r="BL4" s="47"/>
      <c r="BM4" s="47"/>
      <c r="BN4" s="47"/>
      <c r="BO4" s="47"/>
      <c r="BP4" s="47"/>
      <c r="BQ4" s="47" t="s">
        <v>36</v>
      </c>
      <c r="BR4" s="47" t="s">
        <v>37</v>
      </c>
      <c r="BS4" s="47"/>
      <c r="BT4" s="47"/>
      <c r="BU4" s="47"/>
      <c r="BV4" s="47"/>
      <c r="BW4" s="47" t="s">
        <v>38</v>
      </c>
      <c r="BX4" s="47"/>
      <c r="BY4" s="47"/>
      <c r="BZ4" s="47"/>
      <c r="CA4" s="47"/>
      <c r="CB4" s="48">
        <v>45963</v>
      </c>
    </row>
    <row r="5" spans="1:1009" ht="15.75" x14ac:dyDescent="0.25">
      <c r="A5" s="54">
        <v>45964</v>
      </c>
      <c r="B5" s="55" t="s">
        <v>41</v>
      </c>
      <c r="C5" s="56"/>
      <c r="D5" s="57"/>
      <c r="E5" s="58" t="s">
        <v>42</v>
      </c>
      <c r="F5" s="59" t="s">
        <v>43</v>
      </c>
      <c r="G5" s="60" t="s">
        <v>43</v>
      </c>
      <c r="H5" s="61"/>
      <c r="I5" s="58" t="s">
        <v>44</v>
      </c>
      <c r="J5" s="62" t="s">
        <v>45</v>
      </c>
      <c r="K5" s="133"/>
      <c r="L5" s="63" t="s">
        <v>45</v>
      </c>
      <c r="M5" s="63" t="s">
        <v>47</v>
      </c>
      <c r="N5" s="64"/>
      <c r="O5" s="58" t="s">
        <v>48</v>
      </c>
      <c r="P5" s="60" t="s">
        <v>48</v>
      </c>
      <c r="Q5" s="65" t="s">
        <v>49</v>
      </c>
      <c r="R5" s="66" t="s">
        <v>50</v>
      </c>
      <c r="S5" s="67"/>
      <c r="T5" s="66"/>
      <c r="U5" s="154" t="s">
        <v>61</v>
      </c>
      <c r="V5" s="68" t="s">
        <v>51</v>
      </c>
      <c r="W5" s="69" t="s">
        <v>106</v>
      </c>
      <c r="X5" s="70" t="s">
        <v>52</v>
      </c>
      <c r="Y5" s="139"/>
      <c r="Z5" s="71" t="s">
        <v>53</v>
      </c>
      <c r="AA5" s="150" t="s">
        <v>54</v>
      </c>
      <c r="AB5" s="140" t="s">
        <v>115</v>
      </c>
      <c r="AC5" s="151" t="s">
        <v>110</v>
      </c>
      <c r="AD5" s="75" t="s">
        <v>53</v>
      </c>
      <c r="AE5" s="131" t="s">
        <v>46</v>
      </c>
      <c r="AF5" s="124" t="s">
        <v>51</v>
      </c>
      <c r="AG5" s="76"/>
      <c r="AH5" s="77"/>
      <c r="AI5" s="70" t="s">
        <v>55</v>
      </c>
      <c r="AJ5" s="76"/>
      <c r="AK5" s="78" t="s">
        <v>56</v>
      </c>
      <c r="AL5" s="75" t="s">
        <v>56</v>
      </c>
      <c r="AM5" s="72"/>
      <c r="AN5" s="73"/>
      <c r="AO5" s="68" t="s">
        <v>52</v>
      </c>
      <c r="AP5" s="75" t="s">
        <v>57</v>
      </c>
      <c r="AQ5" s="79"/>
      <c r="AR5" s="45"/>
      <c r="AS5" s="54">
        <v>45964</v>
      </c>
      <c r="AT5" s="80"/>
      <c r="AU5" s="81"/>
      <c r="AV5" s="82"/>
      <c r="AW5" s="83"/>
      <c r="AX5" s="83"/>
      <c r="AY5" s="84"/>
      <c r="AZ5" s="54">
        <v>45964</v>
      </c>
      <c r="BA5" s="85" t="s">
        <v>58</v>
      </c>
      <c r="BB5" s="85"/>
      <c r="BC5" s="85"/>
      <c r="BD5" s="85"/>
      <c r="BE5" s="85" t="s">
        <v>59</v>
      </c>
      <c r="BF5" s="85"/>
      <c r="BG5" s="85"/>
      <c r="BH5" s="85"/>
      <c r="BI5" s="85"/>
      <c r="BJ5" s="85" t="s">
        <v>35</v>
      </c>
      <c r="BK5" s="85"/>
      <c r="BL5" s="85"/>
      <c r="BM5" s="85"/>
      <c r="BN5" s="85"/>
      <c r="BO5" s="85"/>
      <c r="BP5" s="85"/>
      <c r="BQ5" s="85" t="s">
        <v>36</v>
      </c>
      <c r="BR5" s="85"/>
      <c r="BS5" s="85"/>
      <c r="BT5" s="85"/>
      <c r="BU5" s="85"/>
      <c r="BV5" s="85"/>
      <c r="BW5" s="85" t="s">
        <v>38</v>
      </c>
      <c r="BX5" s="85"/>
      <c r="BY5" s="85"/>
      <c r="BZ5" s="85"/>
      <c r="CA5" s="85"/>
      <c r="CB5" s="86">
        <v>45964</v>
      </c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09" ht="15.75" x14ac:dyDescent="0.25">
      <c r="A6" s="54">
        <v>45965</v>
      </c>
      <c r="B6" s="55" t="s">
        <v>60</v>
      </c>
      <c r="C6" s="56"/>
      <c r="D6" s="57"/>
      <c r="E6" s="58" t="s">
        <v>61</v>
      </c>
      <c r="F6" s="108"/>
      <c r="G6" s="60" t="s">
        <v>62</v>
      </c>
      <c r="H6" s="87" t="s">
        <v>54</v>
      </c>
      <c r="I6" s="88" t="s">
        <v>34</v>
      </c>
      <c r="J6" s="62" t="s">
        <v>54</v>
      </c>
      <c r="K6" s="62" t="s">
        <v>63</v>
      </c>
      <c r="L6" s="121" t="s">
        <v>110</v>
      </c>
      <c r="M6" s="60" t="s">
        <v>47</v>
      </c>
      <c r="N6" s="87" t="s">
        <v>64</v>
      </c>
      <c r="O6" s="90" t="s">
        <v>48</v>
      </c>
      <c r="P6" s="63" t="s">
        <v>63</v>
      </c>
      <c r="Q6" s="65" t="s">
        <v>36</v>
      </c>
      <c r="R6" s="66" t="s">
        <v>34</v>
      </c>
      <c r="S6" s="67"/>
      <c r="T6" s="66"/>
      <c r="U6" s="154" t="s">
        <v>64</v>
      </c>
      <c r="V6" s="68" t="s">
        <v>62</v>
      </c>
      <c r="W6" s="69" t="s">
        <v>107</v>
      </c>
      <c r="X6" s="91"/>
      <c r="Y6" s="76"/>
      <c r="Z6" s="71" t="s">
        <v>53</v>
      </c>
      <c r="AA6" s="68" t="s">
        <v>65</v>
      </c>
      <c r="AB6" s="75" t="s">
        <v>61</v>
      </c>
      <c r="AC6" s="129" t="s">
        <v>47</v>
      </c>
      <c r="AD6" s="76"/>
      <c r="AE6" s="93" t="s">
        <v>46</v>
      </c>
      <c r="AF6" s="70" t="s">
        <v>46</v>
      </c>
      <c r="AG6" s="94" t="s">
        <v>46</v>
      </c>
      <c r="AH6" s="95" t="s">
        <v>66</v>
      </c>
      <c r="AI6" s="70" t="s">
        <v>65</v>
      </c>
      <c r="AJ6" s="94" t="s">
        <v>65</v>
      </c>
      <c r="AK6" s="68" t="s">
        <v>51</v>
      </c>
      <c r="AL6" s="75" t="s">
        <v>57</v>
      </c>
      <c r="AM6" s="68" t="s">
        <v>67</v>
      </c>
      <c r="AN6" s="75" t="s">
        <v>68</v>
      </c>
      <c r="AO6" s="68" t="s">
        <v>56</v>
      </c>
      <c r="AP6" s="75" t="s">
        <v>51</v>
      </c>
      <c r="AQ6" s="79"/>
      <c r="AR6" s="45"/>
      <c r="AS6" s="54">
        <v>45965</v>
      </c>
      <c r="AT6" s="96"/>
      <c r="AU6" s="97"/>
      <c r="AV6" s="82" t="s">
        <v>56</v>
      </c>
      <c r="AW6" s="84"/>
      <c r="AX6" s="98"/>
      <c r="AY6" s="98"/>
      <c r="AZ6" s="54">
        <v>45965</v>
      </c>
      <c r="BA6" s="85"/>
      <c r="BB6" s="85"/>
      <c r="BC6" s="85"/>
      <c r="BD6" s="85"/>
      <c r="BE6" s="85"/>
      <c r="BF6" s="85"/>
      <c r="BG6" s="85"/>
      <c r="BH6" s="85"/>
      <c r="BI6" s="85"/>
      <c r="BJ6" s="85" t="s">
        <v>35</v>
      </c>
      <c r="BK6" s="85"/>
      <c r="BL6" s="85"/>
      <c r="BM6" s="85"/>
      <c r="BN6" s="85"/>
      <c r="BO6" s="85"/>
      <c r="BP6" s="85"/>
      <c r="BQ6" s="85"/>
      <c r="BR6" s="85"/>
      <c r="BS6" s="85" t="s">
        <v>69</v>
      </c>
      <c r="BT6" s="85" t="s">
        <v>40</v>
      </c>
      <c r="BU6" s="85" t="s">
        <v>70</v>
      </c>
      <c r="BV6" s="85"/>
      <c r="BW6" s="85" t="s">
        <v>38</v>
      </c>
      <c r="BX6" s="85" t="s">
        <v>71</v>
      </c>
      <c r="BY6" s="85" t="s">
        <v>72</v>
      </c>
      <c r="BZ6" s="85"/>
      <c r="CA6" s="85"/>
      <c r="CB6" s="86">
        <v>45965</v>
      </c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09" ht="15.75" x14ac:dyDescent="0.25">
      <c r="A7" s="54">
        <v>45966</v>
      </c>
      <c r="B7" s="55" t="s">
        <v>73</v>
      </c>
      <c r="C7" s="56"/>
      <c r="D7" s="57"/>
      <c r="E7" s="58" t="s">
        <v>42</v>
      </c>
      <c r="F7" s="59" t="s">
        <v>64</v>
      </c>
      <c r="G7" s="60" t="s">
        <v>74</v>
      </c>
      <c r="H7" s="61"/>
      <c r="I7" s="58" t="s">
        <v>45</v>
      </c>
      <c r="J7" s="99" t="s">
        <v>75</v>
      </c>
      <c r="K7" s="62" t="s">
        <v>44</v>
      </c>
      <c r="L7" s="60" t="s">
        <v>44</v>
      </c>
      <c r="M7" s="89" t="s">
        <v>75</v>
      </c>
      <c r="N7" s="61"/>
      <c r="O7" s="90" t="s">
        <v>63</v>
      </c>
      <c r="P7" s="60" t="s">
        <v>48</v>
      </c>
      <c r="Q7" s="65" t="s">
        <v>32</v>
      </c>
      <c r="R7" s="66" t="s">
        <v>75</v>
      </c>
      <c r="S7" s="67"/>
      <c r="T7" s="66"/>
      <c r="U7" s="154" t="s">
        <v>54</v>
      </c>
      <c r="V7" s="68" t="s">
        <v>46</v>
      </c>
      <c r="W7" s="69" t="s">
        <v>108</v>
      </c>
      <c r="X7" s="70" t="s">
        <v>45</v>
      </c>
      <c r="Y7" s="139"/>
      <c r="Z7" s="71" t="s">
        <v>76</v>
      </c>
      <c r="AA7" s="150" t="s">
        <v>52</v>
      </c>
      <c r="AB7" s="75" t="s">
        <v>55</v>
      </c>
      <c r="AC7" s="142" t="s">
        <v>110</v>
      </c>
      <c r="AD7" s="73"/>
      <c r="AE7" s="93" t="s">
        <v>51</v>
      </c>
      <c r="AF7" s="143" t="s">
        <v>110</v>
      </c>
      <c r="AG7" s="152"/>
      <c r="AH7" s="95" t="s">
        <v>77</v>
      </c>
      <c r="AI7" s="100"/>
      <c r="AJ7" s="101"/>
      <c r="AK7" s="78" t="s">
        <v>48</v>
      </c>
      <c r="AL7" s="73"/>
      <c r="AM7" s="78" t="s">
        <v>57</v>
      </c>
      <c r="AN7" s="73"/>
      <c r="AO7" s="68" t="s">
        <v>66</v>
      </c>
      <c r="AP7" s="75" t="s">
        <v>57</v>
      </c>
      <c r="AQ7" s="79"/>
      <c r="AR7" s="45"/>
      <c r="AS7" s="54">
        <v>45966</v>
      </c>
      <c r="AT7" s="102"/>
      <c r="AU7" s="103"/>
      <c r="AV7" s="82"/>
      <c r="AW7" s="84"/>
      <c r="AX7" s="83"/>
      <c r="AY7" s="98"/>
      <c r="AZ7" s="54">
        <v>45966</v>
      </c>
      <c r="BA7" s="85" t="s">
        <v>78</v>
      </c>
      <c r="BB7" s="85"/>
      <c r="BC7" s="85"/>
      <c r="BD7" s="85"/>
      <c r="BE7" s="85"/>
      <c r="BF7" s="85" t="s">
        <v>31</v>
      </c>
      <c r="BG7" s="85"/>
      <c r="BH7" s="85" t="s">
        <v>43</v>
      </c>
      <c r="BI7" s="85"/>
      <c r="BJ7" s="85" t="s">
        <v>35</v>
      </c>
      <c r="BK7" s="85"/>
      <c r="BL7" s="85" t="s">
        <v>79</v>
      </c>
      <c r="BM7" s="85" t="s">
        <v>80</v>
      </c>
      <c r="BN7" s="85"/>
      <c r="BO7" s="85"/>
      <c r="BP7" s="85"/>
      <c r="BQ7" s="85" t="s">
        <v>81</v>
      </c>
      <c r="BR7" s="85" t="s">
        <v>37</v>
      </c>
      <c r="BS7" s="85"/>
      <c r="BT7" s="85"/>
      <c r="BU7" s="85"/>
      <c r="BV7" s="85"/>
      <c r="BW7" s="85" t="s">
        <v>38</v>
      </c>
      <c r="BX7" s="85"/>
      <c r="BY7" s="85"/>
      <c r="BZ7" s="85"/>
      <c r="CA7" s="85" t="s">
        <v>82</v>
      </c>
      <c r="CB7" s="86">
        <v>45966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09" ht="15.75" x14ac:dyDescent="0.25">
      <c r="A8" s="54">
        <v>45967</v>
      </c>
      <c r="B8" s="55" t="s">
        <v>83</v>
      </c>
      <c r="C8" s="56"/>
      <c r="D8" s="57"/>
      <c r="E8" s="58" t="s">
        <v>61</v>
      </c>
      <c r="F8" s="59" t="s">
        <v>74</v>
      </c>
      <c r="G8" s="60" t="s">
        <v>74</v>
      </c>
      <c r="H8" s="61"/>
      <c r="I8" s="88" t="s">
        <v>72</v>
      </c>
      <c r="J8" s="62" t="s">
        <v>76</v>
      </c>
      <c r="K8" s="62" t="s">
        <v>44</v>
      </c>
      <c r="L8" s="89" t="s">
        <v>72</v>
      </c>
      <c r="M8" s="60" t="s">
        <v>61</v>
      </c>
      <c r="N8" s="61"/>
      <c r="O8" s="90" t="s">
        <v>63</v>
      </c>
      <c r="P8" s="60" t="s">
        <v>48</v>
      </c>
      <c r="Q8" s="65" t="s">
        <v>84</v>
      </c>
      <c r="R8" s="66" t="s">
        <v>72</v>
      </c>
      <c r="S8" s="67"/>
      <c r="T8" s="66"/>
      <c r="U8" s="154" t="s">
        <v>111</v>
      </c>
      <c r="V8" s="68" t="s">
        <v>54</v>
      </c>
      <c r="W8" s="69" t="s">
        <v>109</v>
      </c>
      <c r="X8" s="91"/>
      <c r="Y8" s="76"/>
      <c r="Z8" s="136" t="s">
        <v>115</v>
      </c>
      <c r="AA8" s="142" t="s">
        <v>110</v>
      </c>
      <c r="AB8" s="140" t="s">
        <v>76</v>
      </c>
      <c r="AC8" s="92"/>
      <c r="AD8" s="140" t="s">
        <v>110</v>
      </c>
      <c r="AE8" s="93" t="s">
        <v>51</v>
      </c>
      <c r="AF8" s="70" t="s">
        <v>68</v>
      </c>
      <c r="AG8" s="94" t="s">
        <v>68</v>
      </c>
      <c r="AH8" s="95" t="s">
        <v>46</v>
      </c>
      <c r="AI8" s="70" t="s">
        <v>52</v>
      </c>
      <c r="AJ8" s="94" t="s">
        <v>52</v>
      </c>
      <c r="AK8" s="78" t="s">
        <v>52</v>
      </c>
      <c r="AL8" s="75" t="s">
        <v>58</v>
      </c>
      <c r="AM8" s="78" t="s">
        <v>68</v>
      </c>
      <c r="AN8" s="75" t="s">
        <v>63</v>
      </c>
      <c r="AO8" s="68" t="s">
        <v>56</v>
      </c>
      <c r="AP8" s="75" t="s">
        <v>56</v>
      </c>
      <c r="AQ8" s="79"/>
      <c r="AR8" s="45"/>
      <c r="AS8" s="54">
        <v>45967</v>
      </c>
      <c r="AT8" s="80"/>
      <c r="AU8" s="104"/>
      <c r="AV8" s="105"/>
      <c r="AW8" s="106"/>
      <c r="AX8" s="107"/>
      <c r="AY8" s="106"/>
      <c r="AZ8" s="54">
        <v>45967</v>
      </c>
      <c r="BA8" s="85"/>
      <c r="BB8" s="85"/>
      <c r="BC8" s="85"/>
      <c r="BD8" s="85"/>
      <c r="BE8" s="85"/>
      <c r="BF8" s="85"/>
      <c r="BG8" s="85"/>
      <c r="BH8" s="85"/>
      <c r="BI8" s="85" t="s">
        <v>85</v>
      </c>
      <c r="BJ8" s="85" t="s">
        <v>35</v>
      </c>
      <c r="BK8" s="85"/>
      <c r="BL8" s="85"/>
      <c r="BM8" s="85"/>
      <c r="BN8" s="85" t="s">
        <v>86</v>
      </c>
      <c r="BO8" s="85"/>
      <c r="BP8" s="85"/>
      <c r="BQ8" s="85"/>
      <c r="BR8" s="85" t="s">
        <v>37</v>
      </c>
      <c r="BS8" s="85"/>
      <c r="BT8" s="85"/>
      <c r="BU8" s="85"/>
      <c r="BV8" s="85"/>
      <c r="BW8" s="85" t="s">
        <v>38</v>
      </c>
      <c r="BX8" s="85"/>
      <c r="BY8" s="85"/>
      <c r="BZ8" s="85" t="s">
        <v>87</v>
      </c>
      <c r="CA8" s="85"/>
      <c r="CB8" s="86">
        <v>45967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09" ht="15.75" x14ac:dyDescent="0.25">
      <c r="A9" s="54">
        <v>45968</v>
      </c>
      <c r="B9" s="55" t="s">
        <v>88</v>
      </c>
      <c r="C9" s="56"/>
      <c r="D9" s="57"/>
      <c r="E9" s="58" t="s">
        <v>61</v>
      </c>
      <c r="F9" s="108"/>
      <c r="G9" s="60" t="s">
        <v>54</v>
      </c>
      <c r="H9" s="87" t="s">
        <v>76</v>
      </c>
      <c r="I9" s="88" t="s">
        <v>89</v>
      </c>
      <c r="J9" s="62" t="s">
        <v>76</v>
      </c>
      <c r="K9" s="62" t="s">
        <v>44</v>
      </c>
      <c r="L9" s="63" t="s">
        <v>44</v>
      </c>
      <c r="M9" s="60" t="s">
        <v>45</v>
      </c>
      <c r="N9" s="147" t="s">
        <v>110</v>
      </c>
      <c r="O9" s="58" t="s">
        <v>66</v>
      </c>
      <c r="P9" s="60" t="s">
        <v>68</v>
      </c>
      <c r="Q9" s="65" t="s">
        <v>37</v>
      </c>
      <c r="R9" s="66" t="s">
        <v>89</v>
      </c>
      <c r="S9" s="67"/>
      <c r="T9" s="66"/>
      <c r="U9" s="154" t="s">
        <v>43</v>
      </c>
      <c r="V9" s="68" t="s">
        <v>45</v>
      </c>
      <c r="W9" s="69" t="s">
        <v>70</v>
      </c>
      <c r="X9" s="91"/>
      <c r="Y9" s="76"/>
      <c r="Z9" s="71" t="s">
        <v>54</v>
      </c>
      <c r="AA9" s="80" t="s">
        <v>116</v>
      </c>
      <c r="AB9" s="75" t="s">
        <v>66</v>
      </c>
      <c r="AC9" s="109"/>
      <c r="AD9" s="75" t="s">
        <v>61</v>
      </c>
      <c r="AE9" s="131" t="s">
        <v>110</v>
      </c>
      <c r="AF9" s="70" t="s">
        <v>46</v>
      </c>
      <c r="AG9" s="76"/>
      <c r="AH9" s="110" t="s">
        <v>57</v>
      </c>
      <c r="AI9" s="70" t="s">
        <v>52</v>
      </c>
      <c r="AJ9" s="76"/>
      <c r="AK9" s="78" t="s">
        <v>67</v>
      </c>
      <c r="AL9" s="75" t="s">
        <v>57</v>
      </c>
      <c r="AM9" s="78" t="s">
        <v>52</v>
      </c>
      <c r="AN9" s="75" t="s">
        <v>63</v>
      </c>
      <c r="AO9" s="68" t="s">
        <v>68</v>
      </c>
      <c r="AP9" s="75" t="s">
        <v>67</v>
      </c>
      <c r="AQ9" s="79"/>
      <c r="AR9" s="45"/>
      <c r="AS9" s="54">
        <v>45968</v>
      </c>
      <c r="AT9" s="80"/>
      <c r="AU9" s="97"/>
      <c r="AV9" s="105"/>
      <c r="AW9" s="106"/>
      <c r="AX9" s="106"/>
      <c r="AY9" s="98"/>
      <c r="AZ9" s="54">
        <v>45968</v>
      </c>
      <c r="BA9" s="85"/>
      <c r="BB9" s="85" t="s">
        <v>74</v>
      </c>
      <c r="BC9" s="85"/>
      <c r="BD9" s="85" t="s">
        <v>32</v>
      </c>
      <c r="BE9" s="85"/>
      <c r="BF9" s="85"/>
      <c r="BG9" s="85"/>
      <c r="BH9" s="85"/>
      <c r="BI9" s="85"/>
      <c r="BJ9" s="85" t="s">
        <v>35</v>
      </c>
      <c r="BK9" s="85"/>
      <c r="BL9" s="85"/>
      <c r="BM9" s="85"/>
      <c r="BN9" s="85"/>
      <c r="BO9" s="85"/>
      <c r="BP9" s="85" t="s">
        <v>65</v>
      </c>
      <c r="BQ9" s="85"/>
      <c r="BR9" s="85" t="s">
        <v>37</v>
      </c>
      <c r="BS9" s="85"/>
      <c r="BT9" s="85"/>
      <c r="BU9" s="85"/>
      <c r="BV9" s="85"/>
      <c r="BW9" s="85" t="s">
        <v>38</v>
      </c>
      <c r="BX9" s="85"/>
      <c r="BY9" s="85"/>
      <c r="BZ9" s="85"/>
      <c r="CA9" s="85"/>
      <c r="CB9" s="86">
        <v>45968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09" s="49" customFormat="1" ht="15.75" x14ac:dyDescent="0.25">
      <c r="A10" s="28">
        <v>45969</v>
      </c>
      <c r="B10" s="29" t="s">
        <v>30</v>
      </c>
      <c r="C10" s="30"/>
      <c r="D10" s="29"/>
      <c r="E10" s="31"/>
      <c r="F10" s="32"/>
      <c r="G10" s="32"/>
      <c r="H10" s="33"/>
      <c r="I10" s="34"/>
      <c r="J10" s="35"/>
      <c r="K10" s="35"/>
      <c r="L10" s="35"/>
      <c r="M10" s="32"/>
      <c r="N10" s="33"/>
      <c r="O10" s="164" t="s">
        <v>89</v>
      </c>
      <c r="P10" s="164"/>
      <c r="Q10" s="33" t="s">
        <v>43</v>
      </c>
      <c r="R10" s="36" t="s">
        <v>90</v>
      </c>
      <c r="S10" s="37"/>
      <c r="T10" s="36" t="s">
        <v>43</v>
      </c>
      <c r="U10" s="33" t="s">
        <v>89</v>
      </c>
      <c r="V10" s="38"/>
      <c r="W10" s="39"/>
      <c r="X10" s="39"/>
      <c r="Y10" s="40"/>
      <c r="Z10" s="41"/>
      <c r="AA10" s="42"/>
      <c r="AB10" s="40"/>
      <c r="AC10" s="38"/>
      <c r="AD10" s="40"/>
      <c r="AE10" s="42"/>
      <c r="AF10" s="39"/>
      <c r="AG10" s="40"/>
      <c r="AH10" s="38"/>
      <c r="AI10" s="39"/>
      <c r="AJ10" s="40"/>
      <c r="AK10" s="42"/>
      <c r="AL10" s="40"/>
      <c r="AM10" s="43"/>
      <c r="AN10" s="33"/>
      <c r="AO10" s="38"/>
      <c r="AP10" s="40"/>
      <c r="AQ10" s="44"/>
      <c r="AR10" s="45"/>
      <c r="AS10" s="28">
        <v>45969</v>
      </c>
      <c r="AT10" s="42"/>
      <c r="AU10" s="46"/>
      <c r="AV10" s="42"/>
      <c r="AW10" s="46"/>
      <c r="AX10" s="46"/>
      <c r="AY10" s="46"/>
      <c r="AZ10" s="28">
        <v>45969</v>
      </c>
      <c r="BA10" s="47"/>
      <c r="BB10" s="47" t="s">
        <v>74</v>
      </c>
      <c r="BC10" s="47"/>
      <c r="BD10" s="47" t="s">
        <v>32</v>
      </c>
      <c r="BE10" s="47"/>
      <c r="BF10" s="47" t="s">
        <v>31</v>
      </c>
      <c r="BG10" s="47"/>
      <c r="BH10" s="47"/>
      <c r="BI10" s="47"/>
      <c r="BJ10" s="47"/>
      <c r="BK10" s="47" t="s">
        <v>49</v>
      </c>
      <c r="BL10" s="47" t="s">
        <v>79</v>
      </c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 t="s">
        <v>38</v>
      </c>
      <c r="BX10" s="47"/>
      <c r="BY10" s="47"/>
      <c r="BZ10" s="47"/>
      <c r="CA10" s="47"/>
      <c r="CB10" s="48">
        <v>45969</v>
      </c>
    </row>
    <row r="11" spans="1:1009" s="49" customFormat="1" ht="15.75" x14ac:dyDescent="0.25">
      <c r="A11" s="28">
        <v>45970</v>
      </c>
      <c r="B11" s="29" t="s">
        <v>39</v>
      </c>
      <c r="C11" s="30"/>
      <c r="D11" s="29"/>
      <c r="E11" s="31"/>
      <c r="F11" s="32"/>
      <c r="G11" s="32"/>
      <c r="H11" s="33"/>
      <c r="I11" s="34"/>
      <c r="J11" s="35"/>
      <c r="K11" s="35"/>
      <c r="L11" s="35"/>
      <c r="M11" s="32"/>
      <c r="N11" s="33"/>
      <c r="O11" s="164" t="s">
        <v>37</v>
      </c>
      <c r="P11" s="164"/>
      <c r="Q11" s="33" t="s">
        <v>89</v>
      </c>
      <c r="R11" s="36" t="s">
        <v>58</v>
      </c>
      <c r="S11" s="33" t="s">
        <v>90</v>
      </c>
      <c r="T11" s="36" t="s">
        <v>43</v>
      </c>
      <c r="U11" s="33" t="s">
        <v>43</v>
      </c>
      <c r="V11" s="38"/>
      <c r="W11" s="39"/>
      <c r="X11" s="39"/>
      <c r="Y11" s="40"/>
      <c r="Z11" s="41"/>
      <c r="AA11" s="50"/>
      <c r="AB11" s="40"/>
      <c r="AC11" s="38"/>
      <c r="AD11" s="40"/>
      <c r="AE11" s="42"/>
      <c r="AF11" s="39"/>
      <c r="AG11" s="40"/>
      <c r="AH11" s="50"/>
      <c r="AI11" s="51"/>
      <c r="AJ11" s="52"/>
      <c r="AK11" s="42"/>
      <c r="AL11" s="53"/>
      <c r="AM11" s="50"/>
      <c r="AN11" s="52"/>
      <c r="AO11" s="38"/>
      <c r="AP11" s="40"/>
      <c r="AQ11" s="44"/>
      <c r="AR11" s="45"/>
      <c r="AS11" s="28">
        <v>45970</v>
      </c>
      <c r="AT11" s="42"/>
      <c r="AU11" s="46"/>
      <c r="AV11" s="42"/>
      <c r="AW11" s="46"/>
      <c r="AX11" s="46"/>
      <c r="AY11" s="46"/>
      <c r="AZ11" s="28">
        <v>45970</v>
      </c>
      <c r="BA11" s="47"/>
      <c r="BB11" s="47" t="s">
        <v>74</v>
      </c>
      <c r="BC11" s="47"/>
      <c r="BD11" s="47" t="s">
        <v>32</v>
      </c>
      <c r="BE11" s="47"/>
      <c r="BF11" s="47"/>
      <c r="BG11" s="47"/>
      <c r="BH11" s="47"/>
      <c r="BI11" s="47"/>
      <c r="BJ11" s="47"/>
      <c r="BK11" s="47" t="s">
        <v>49</v>
      </c>
      <c r="BL11" s="47" t="s">
        <v>79</v>
      </c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 t="s">
        <v>38</v>
      </c>
      <c r="BX11" s="47"/>
      <c r="BY11" s="47"/>
      <c r="BZ11" s="47"/>
      <c r="CA11" s="47"/>
      <c r="CB11" s="48">
        <v>45970</v>
      </c>
    </row>
    <row r="12" spans="1:1009" ht="15.75" x14ac:dyDescent="0.25">
      <c r="A12" s="54">
        <v>45971</v>
      </c>
      <c r="B12" s="55" t="s">
        <v>41</v>
      </c>
      <c r="C12" s="56"/>
      <c r="D12" s="57"/>
      <c r="E12" s="58" t="s">
        <v>42</v>
      </c>
      <c r="F12" s="59" t="s">
        <v>75</v>
      </c>
      <c r="G12" s="60" t="s">
        <v>42</v>
      </c>
      <c r="H12" s="87" t="s">
        <v>75</v>
      </c>
      <c r="I12" s="111" t="s">
        <v>91</v>
      </c>
      <c r="J12" s="112" t="s">
        <v>44</v>
      </c>
      <c r="K12" s="134"/>
      <c r="L12" s="63" t="s">
        <v>91</v>
      </c>
      <c r="M12" s="63" t="s">
        <v>57</v>
      </c>
      <c r="N12" s="64"/>
      <c r="O12" s="111" t="s">
        <v>92</v>
      </c>
      <c r="P12" s="60" t="s">
        <v>63</v>
      </c>
      <c r="Q12" s="113" t="s">
        <v>55</v>
      </c>
      <c r="R12" s="114" t="s">
        <v>93</v>
      </c>
      <c r="S12" s="115"/>
      <c r="T12" s="114"/>
      <c r="U12" s="155" t="s">
        <v>47</v>
      </c>
      <c r="V12" s="68" t="s">
        <v>67</v>
      </c>
      <c r="W12" s="69" t="s">
        <v>106</v>
      </c>
      <c r="X12" s="70" t="s">
        <v>44</v>
      </c>
      <c r="Y12" s="139"/>
      <c r="Z12" s="71" t="s">
        <v>53</v>
      </c>
      <c r="AA12" s="142" t="s">
        <v>110</v>
      </c>
      <c r="AB12" s="75" t="s">
        <v>76</v>
      </c>
      <c r="AC12" s="132" t="s">
        <v>76</v>
      </c>
      <c r="AD12" s="75" t="s">
        <v>53</v>
      </c>
      <c r="AE12" s="93" t="s">
        <v>46</v>
      </c>
      <c r="AF12" s="70" t="s">
        <v>45</v>
      </c>
      <c r="AG12" s="76"/>
      <c r="AH12" s="110" t="s">
        <v>45</v>
      </c>
      <c r="AI12" s="70" t="s">
        <v>36</v>
      </c>
      <c r="AJ12" s="76"/>
      <c r="AK12" s="78" t="s">
        <v>56</v>
      </c>
      <c r="AL12" s="75" t="s">
        <v>56</v>
      </c>
      <c r="AM12" s="78" t="s">
        <v>63</v>
      </c>
      <c r="AN12" s="75" t="s">
        <v>68</v>
      </c>
      <c r="AO12" s="68" t="s">
        <v>51</v>
      </c>
      <c r="AP12" s="75" t="s">
        <v>51</v>
      </c>
      <c r="AQ12" s="116" t="s">
        <v>94</v>
      </c>
      <c r="AR12" s="45"/>
      <c r="AS12" s="54">
        <v>45971</v>
      </c>
      <c r="AT12" s="80"/>
      <c r="AU12" s="81"/>
      <c r="AV12" s="117"/>
      <c r="AW12" s="83"/>
      <c r="AX12" s="84"/>
      <c r="AY12" s="84"/>
      <c r="AZ12" s="54">
        <v>45971</v>
      </c>
      <c r="BA12" s="85" t="s">
        <v>58</v>
      </c>
      <c r="BB12" s="85" t="s">
        <v>74</v>
      </c>
      <c r="BC12" s="85"/>
      <c r="BD12" s="85" t="s">
        <v>32</v>
      </c>
      <c r="BE12" s="85"/>
      <c r="BF12" s="85"/>
      <c r="BG12" s="85"/>
      <c r="BH12" s="85" t="s">
        <v>43</v>
      </c>
      <c r="BI12" s="85"/>
      <c r="BJ12" s="85"/>
      <c r="BK12" s="85"/>
      <c r="BL12" s="85" t="s">
        <v>79</v>
      </c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 t="s">
        <v>38</v>
      </c>
      <c r="BX12" s="85"/>
      <c r="BY12" s="85"/>
      <c r="BZ12" s="85"/>
      <c r="CA12" s="85"/>
      <c r="CB12" s="86">
        <v>45971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</row>
    <row r="13" spans="1:1009" ht="15.75" x14ac:dyDescent="0.25">
      <c r="A13" s="54">
        <v>45972</v>
      </c>
      <c r="B13" s="55" t="s">
        <v>60</v>
      </c>
      <c r="C13" s="56"/>
      <c r="D13" s="57"/>
      <c r="E13" s="58" t="s">
        <v>54</v>
      </c>
      <c r="F13" s="108"/>
      <c r="G13" s="60" t="s">
        <v>47</v>
      </c>
      <c r="H13" s="87" t="s">
        <v>62</v>
      </c>
      <c r="I13" s="111" t="s">
        <v>91</v>
      </c>
      <c r="J13" s="118" t="s">
        <v>84</v>
      </c>
      <c r="K13" s="112" t="s">
        <v>45</v>
      </c>
      <c r="L13" s="63" t="s">
        <v>91</v>
      </c>
      <c r="M13" s="149" t="s">
        <v>110</v>
      </c>
      <c r="N13" s="87" t="s">
        <v>76</v>
      </c>
      <c r="O13" s="119" t="s">
        <v>48</v>
      </c>
      <c r="P13" s="60" t="s">
        <v>48</v>
      </c>
      <c r="Q13" s="65" t="s">
        <v>34</v>
      </c>
      <c r="R13" s="66" t="s">
        <v>84</v>
      </c>
      <c r="S13" s="67"/>
      <c r="T13" s="66"/>
      <c r="U13" s="154" t="s">
        <v>76</v>
      </c>
      <c r="V13" s="68" t="s">
        <v>76</v>
      </c>
      <c r="W13" s="69" t="s">
        <v>109</v>
      </c>
      <c r="X13" s="91"/>
      <c r="Y13" s="76"/>
      <c r="Z13" s="159" t="s">
        <v>118</v>
      </c>
      <c r="AA13" s="129" t="s">
        <v>62</v>
      </c>
      <c r="AB13" s="75" t="s">
        <v>44</v>
      </c>
      <c r="AC13" s="68" t="s">
        <v>65</v>
      </c>
      <c r="AD13" s="76"/>
      <c r="AE13" s="146" t="s">
        <v>110</v>
      </c>
      <c r="AF13" s="70" t="s">
        <v>67</v>
      </c>
      <c r="AG13" s="94" t="s">
        <v>67</v>
      </c>
      <c r="AH13" s="95" t="s">
        <v>67</v>
      </c>
      <c r="AI13" s="70" t="s">
        <v>65</v>
      </c>
      <c r="AJ13" s="94" t="s">
        <v>65</v>
      </c>
      <c r="AK13" s="68" t="s">
        <v>56</v>
      </c>
      <c r="AL13" s="75" t="s">
        <v>68</v>
      </c>
      <c r="AM13" s="68" t="s">
        <v>66</v>
      </c>
      <c r="AN13" s="75" t="s">
        <v>63</v>
      </c>
      <c r="AO13" s="68" t="s">
        <v>63</v>
      </c>
      <c r="AP13" s="75" t="s">
        <v>57</v>
      </c>
      <c r="AQ13" s="79"/>
      <c r="AR13" s="45"/>
      <c r="AS13" s="54">
        <v>45972</v>
      </c>
      <c r="AT13" s="80"/>
      <c r="AU13" s="81"/>
      <c r="AV13" s="82" t="s">
        <v>56</v>
      </c>
      <c r="AW13" s="84" t="s">
        <v>64</v>
      </c>
      <c r="AX13" s="98"/>
      <c r="AY13" s="98"/>
      <c r="AZ13" s="54">
        <v>45972</v>
      </c>
      <c r="BA13" s="85"/>
      <c r="BB13" s="85"/>
      <c r="BC13" s="85"/>
      <c r="BD13" s="85"/>
      <c r="BE13" s="85"/>
      <c r="BF13" s="85"/>
      <c r="BG13" s="85" t="s">
        <v>95</v>
      </c>
      <c r="BH13" s="85" t="s">
        <v>43</v>
      </c>
      <c r="BI13" s="85"/>
      <c r="BJ13" s="85"/>
      <c r="BK13" s="85"/>
      <c r="BL13" s="85" t="s">
        <v>79</v>
      </c>
      <c r="BM13" s="85"/>
      <c r="BN13" s="85"/>
      <c r="BO13" s="85"/>
      <c r="BP13" s="85"/>
      <c r="BQ13" s="85"/>
      <c r="BR13" s="85" t="s">
        <v>96</v>
      </c>
      <c r="BS13" s="85"/>
      <c r="BT13" s="85"/>
      <c r="BU13" s="85"/>
      <c r="BV13" s="85"/>
      <c r="BW13" s="85" t="s">
        <v>38</v>
      </c>
      <c r="BX13" s="85"/>
      <c r="BY13" s="85"/>
      <c r="BZ13" s="85"/>
      <c r="CA13" s="85"/>
      <c r="CB13" s="86">
        <v>45972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09" ht="15.75" x14ac:dyDescent="0.25">
      <c r="A14" s="54">
        <v>45973</v>
      </c>
      <c r="B14" s="55" t="s">
        <v>73</v>
      </c>
      <c r="C14" s="56"/>
      <c r="D14" s="57"/>
      <c r="E14" s="58" t="s">
        <v>42</v>
      </c>
      <c r="F14" s="59" t="s">
        <v>47</v>
      </c>
      <c r="G14" s="60" t="s">
        <v>64</v>
      </c>
      <c r="H14" s="61"/>
      <c r="I14" s="148" t="s">
        <v>110</v>
      </c>
      <c r="J14" s="112" t="s">
        <v>57</v>
      </c>
      <c r="K14" s="112" t="s">
        <v>76</v>
      </c>
      <c r="L14" s="60" t="s">
        <v>61</v>
      </c>
      <c r="M14" s="89" t="s">
        <v>91</v>
      </c>
      <c r="N14" s="64"/>
      <c r="O14" s="111" t="s">
        <v>68</v>
      </c>
      <c r="P14" s="60" t="s">
        <v>48</v>
      </c>
      <c r="Q14" s="65" t="s">
        <v>75</v>
      </c>
      <c r="R14" s="66" t="s">
        <v>35</v>
      </c>
      <c r="S14" s="65" t="s">
        <v>90</v>
      </c>
      <c r="T14" s="66"/>
      <c r="U14" s="154" t="s">
        <v>112</v>
      </c>
      <c r="V14" s="68" t="s">
        <v>48</v>
      </c>
      <c r="W14" s="69" t="s">
        <v>70</v>
      </c>
      <c r="X14" s="70" t="s">
        <v>62</v>
      </c>
      <c r="Y14" s="139"/>
      <c r="Z14" s="71" t="s">
        <v>64</v>
      </c>
      <c r="AA14" s="68" t="s">
        <v>44</v>
      </c>
      <c r="AB14" s="75" t="s">
        <v>36</v>
      </c>
      <c r="AC14" s="68" t="s">
        <v>61</v>
      </c>
      <c r="AD14" s="75" t="s">
        <v>47</v>
      </c>
      <c r="AE14" s="93" t="s">
        <v>46</v>
      </c>
      <c r="AF14" s="124" t="s">
        <v>66</v>
      </c>
      <c r="AG14" s="158" t="s">
        <v>66</v>
      </c>
      <c r="AH14" s="95" t="s">
        <v>51</v>
      </c>
      <c r="AI14" s="157" t="s">
        <v>110</v>
      </c>
      <c r="AJ14" s="144" t="s">
        <v>110</v>
      </c>
      <c r="AK14" s="78" t="s">
        <v>63</v>
      </c>
      <c r="AL14" s="75" t="s">
        <v>57</v>
      </c>
      <c r="AM14" s="78" t="s">
        <v>67</v>
      </c>
      <c r="AN14" s="156"/>
      <c r="AO14" s="68" t="s">
        <v>66</v>
      </c>
      <c r="AP14" s="75" t="s">
        <v>46</v>
      </c>
      <c r="AQ14" s="79"/>
      <c r="AR14" s="120" t="s">
        <v>97</v>
      </c>
      <c r="AS14" s="54">
        <v>45973</v>
      </c>
      <c r="AT14" s="102"/>
      <c r="AU14" s="103"/>
      <c r="AV14" s="82"/>
      <c r="AW14" s="83"/>
      <c r="AX14" s="84"/>
      <c r="AY14" s="98"/>
      <c r="AZ14" s="54">
        <v>45973</v>
      </c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 t="s">
        <v>98</v>
      </c>
      <c r="BL14" s="85" t="s">
        <v>79</v>
      </c>
      <c r="BM14" s="85" t="s">
        <v>80</v>
      </c>
      <c r="BN14" s="85"/>
      <c r="BO14" s="85" t="s">
        <v>99</v>
      </c>
      <c r="BP14" s="85"/>
      <c r="BQ14" s="85"/>
      <c r="BR14" s="85"/>
      <c r="BS14" s="85"/>
      <c r="BT14" s="85"/>
      <c r="BU14" s="85"/>
      <c r="BV14" s="85"/>
      <c r="BW14" s="85" t="s">
        <v>38</v>
      </c>
      <c r="BX14" s="85"/>
      <c r="BY14" s="85"/>
      <c r="BZ14" s="85"/>
      <c r="CA14" s="85" t="s">
        <v>82</v>
      </c>
      <c r="CB14" s="86">
        <v>45973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</row>
    <row r="15" spans="1:1009" ht="15.75" x14ac:dyDescent="0.25">
      <c r="A15" s="54">
        <v>45974</v>
      </c>
      <c r="B15" s="55" t="s">
        <v>83</v>
      </c>
      <c r="C15" s="56"/>
      <c r="D15" s="57"/>
      <c r="E15" s="58" t="s">
        <v>61</v>
      </c>
      <c r="F15" s="59" t="s">
        <v>64</v>
      </c>
      <c r="G15" s="60" t="s">
        <v>47</v>
      </c>
      <c r="H15" s="87" t="s">
        <v>91</v>
      </c>
      <c r="I15" s="111" t="s">
        <v>91</v>
      </c>
      <c r="J15" s="118" t="s">
        <v>33</v>
      </c>
      <c r="K15" s="118"/>
      <c r="L15" s="121" t="s">
        <v>46</v>
      </c>
      <c r="M15" s="60" t="s">
        <v>57</v>
      </c>
      <c r="N15" s="87" t="s">
        <v>64</v>
      </c>
      <c r="O15" s="119" t="s">
        <v>68</v>
      </c>
      <c r="P15" s="60" t="s">
        <v>68</v>
      </c>
      <c r="Q15" s="65" t="s">
        <v>43</v>
      </c>
      <c r="R15" s="66" t="s">
        <v>33</v>
      </c>
      <c r="S15" s="67"/>
      <c r="T15" s="66"/>
      <c r="U15" s="154" t="s">
        <v>113</v>
      </c>
      <c r="V15" s="68" t="s">
        <v>62</v>
      </c>
      <c r="W15" s="69" t="s">
        <v>107</v>
      </c>
      <c r="X15" s="91"/>
      <c r="Y15" s="76"/>
      <c r="Z15" s="145" t="s">
        <v>110</v>
      </c>
      <c r="AA15" s="68" t="s">
        <v>53</v>
      </c>
      <c r="AB15" s="75" t="s">
        <v>76</v>
      </c>
      <c r="AC15" s="68" t="s">
        <v>44</v>
      </c>
      <c r="AD15" s="75" t="s">
        <v>48</v>
      </c>
      <c r="AE15" s="131" t="s">
        <v>57</v>
      </c>
      <c r="AF15" s="70" t="s">
        <v>53</v>
      </c>
      <c r="AG15" s="94" t="s">
        <v>53</v>
      </c>
      <c r="AH15" s="95" t="s">
        <v>76</v>
      </c>
      <c r="AI15" s="70" t="s">
        <v>100</v>
      </c>
      <c r="AJ15" s="94" t="s">
        <v>100</v>
      </c>
      <c r="AK15" s="78" t="s">
        <v>46</v>
      </c>
      <c r="AL15" s="75" t="s">
        <v>58</v>
      </c>
      <c r="AM15" s="78" t="s">
        <v>51</v>
      </c>
      <c r="AN15" s="75" t="s">
        <v>56</v>
      </c>
      <c r="AO15" s="68" t="s">
        <v>56</v>
      </c>
      <c r="AP15" s="75" t="s">
        <v>51</v>
      </c>
      <c r="AQ15" s="79"/>
      <c r="AR15" s="45"/>
      <c r="AS15" s="54">
        <v>45974</v>
      </c>
      <c r="AT15" s="80"/>
      <c r="AU15" s="122"/>
      <c r="AV15" s="123"/>
      <c r="AW15" s="124"/>
      <c r="AX15" s="98"/>
      <c r="AY15" s="124"/>
      <c r="AZ15" s="54">
        <v>45974</v>
      </c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 t="s">
        <v>79</v>
      </c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6">
        <v>45974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09" ht="15.75" x14ac:dyDescent="0.25">
      <c r="A16" s="54">
        <v>45975</v>
      </c>
      <c r="B16" s="55" t="s">
        <v>88</v>
      </c>
      <c r="C16" s="56"/>
      <c r="D16" s="57"/>
      <c r="E16" s="58" t="s">
        <v>37</v>
      </c>
      <c r="F16" s="59" t="s">
        <v>76</v>
      </c>
      <c r="G16" s="60" t="s">
        <v>62</v>
      </c>
      <c r="H16" s="87" t="s">
        <v>37</v>
      </c>
      <c r="I16" s="111" t="s">
        <v>48</v>
      </c>
      <c r="J16" s="112" t="s">
        <v>57</v>
      </c>
      <c r="K16" s="125" t="s">
        <v>54</v>
      </c>
      <c r="L16" s="121" t="s">
        <v>51</v>
      </c>
      <c r="M16" s="60" t="s">
        <v>57</v>
      </c>
      <c r="N16" s="87" t="s">
        <v>100</v>
      </c>
      <c r="O16" s="111" t="s">
        <v>68</v>
      </c>
      <c r="P16" s="60" t="s">
        <v>67</v>
      </c>
      <c r="Q16" s="65" t="s">
        <v>49</v>
      </c>
      <c r="R16" s="66" t="s">
        <v>35</v>
      </c>
      <c r="S16" s="67"/>
      <c r="T16" s="66"/>
      <c r="U16" s="154" t="s">
        <v>35</v>
      </c>
      <c r="V16" s="68" t="s">
        <v>62</v>
      </c>
      <c r="W16" s="69" t="s">
        <v>108</v>
      </c>
      <c r="X16" s="91"/>
      <c r="Y16" s="76"/>
      <c r="Z16" s="71" t="s">
        <v>65</v>
      </c>
      <c r="AA16" s="78" t="s">
        <v>64</v>
      </c>
      <c r="AB16" s="75" t="s">
        <v>45</v>
      </c>
      <c r="AC16" s="109"/>
      <c r="AD16" s="75" t="s">
        <v>54</v>
      </c>
      <c r="AE16" s="93" t="s">
        <v>66</v>
      </c>
      <c r="AF16" s="70" t="s">
        <v>48</v>
      </c>
      <c r="AG16" s="76"/>
      <c r="AH16" s="110" t="s">
        <v>45</v>
      </c>
      <c r="AI16" s="70" t="s">
        <v>66</v>
      </c>
      <c r="AJ16" s="76"/>
      <c r="AK16" s="78" t="s">
        <v>67</v>
      </c>
      <c r="AL16" s="75" t="s">
        <v>65</v>
      </c>
      <c r="AM16" s="78" t="s">
        <v>100</v>
      </c>
      <c r="AN16" s="75" t="s">
        <v>63</v>
      </c>
      <c r="AO16" s="68" t="s">
        <v>51</v>
      </c>
      <c r="AP16" s="75" t="s">
        <v>68</v>
      </c>
      <c r="AQ16" s="79"/>
      <c r="AR16" s="45"/>
      <c r="AS16" s="54">
        <v>45975</v>
      </c>
      <c r="AT16" s="80" t="s">
        <v>44</v>
      </c>
      <c r="AU16" s="97"/>
      <c r="AV16" s="105" t="s">
        <v>76</v>
      </c>
      <c r="AW16" s="124"/>
      <c r="AX16" s="106"/>
      <c r="AY16" s="83"/>
      <c r="AZ16" s="54">
        <v>45975</v>
      </c>
      <c r="BA16" s="85"/>
      <c r="BB16" s="85"/>
      <c r="BC16" s="85"/>
      <c r="BD16" s="85"/>
      <c r="BE16" s="85"/>
      <c r="BF16" s="85"/>
      <c r="BG16" s="85"/>
      <c r="BH16" s="85" t="s">
        <v>43</v>
      </c>
      <c r="BI16" s="85"/>
      <c r="BJ16" s="85"/>
      <c r="BK16" s="85"/>
      <c r="BL16" s="85" t="s">
        <v>79</v>
      </c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 t="s">
        <v>55</v>
      </c>
      <c r="CA16" s="85"/>
      <c r="CB16" s="86">
        <v>45975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s="49" customFormat="1" ht="15.75" x14ac:dyDescent="0.25">
      <c r="A17" s="28">
        <v>45976</v>
      </c>
      <c r="B17" s="29" t="s">
        <v>30</v>
      </c>
      <c r="C17" s="30"/>
      <c r="D17" s="29"/>
      <c r="E17" s="31"/>
      <c r="F17" s="32"/>
      <c r="G17" s="32"/>
      <c r="H17" s="33"/>
      <c r="I17" s="34"/>
      <c r="J17" s="35"/>
      <c r="K17" s="35"/>
      <c r="L17" s="35"/>
      <c r="M17" s="32"/>
      <c r="N17" s="33"/>
      <c r="O17" s="164" t="s">
        <v>84</v>
      </c>
      <c r="P17" s="164"/>
      <c r="Q17" s="33" t="s">
        <v>35</v>
      </c>
      <c r="R17" s="36" t="s">
        <v>31</v>
      </c>
      <c r="S17" s="37"/>
      <c r="T17" s="36" t="s">
        <v>35</v>
      </c>
      <c r="U17" s="33" t="s">
        <v>84</v>
      </c>
      <c r="V17" s="38"/>
      <c r="W17" s="39"/>
      <c r="X17" s="39"/>
      <c r="Y17" s="40"/>
      <c r="Z17" s="41"/>
      <c r="AA17" s="42"/>
      <c r="AB17" s="40"/>
      <c r="AC17" s="38"/>
      <c r="AD17" s="40"/>
      <c r="AE17" s="42"/>
      <c r="AF17" s="39"/>
      <c r="AG17" s="40"/>
      <c r="AH17" s="38"/>
      <c r="AI17" s="39"/>
      <c r="AJ17" s="40"/>
      <c r="AK17" s="42"/>
      <c r="AL17" s="40"/>
      <c r="AM17" s="43"/>
      <c r="AN17" s="33"/>
      <c r="AO17" s="38"/>
      <c r="AP17" s="40"/>
      <c r="AQ17" s="44"/>
      <c r="AR17" s="45"/>
      <c r="AS17" s="28">
        <v>45976</v>
      </c>
      <c r="AT17" s="42"/>
      <c r="AU17" s="46"/>
      <c r="AV17" s="42"/>
      <c r="AW17" s="46"/>
      <c r="AX17" s="46"/>
      <c r="AY17" s="46"/>
      <c r="AZ17" s="28">
        <v>45976</v>
      </c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 t="s">
        <v>79</v>
      </c>
      <c r="BM17" s="47"/>
      <c r="BN17" s="47"/>
      <c r="BO17" s="47"/>
      <c r="BP17" s="47"/>
      <c r="BQ17" s="47"/>
      <c r="BR17" s="47"/>
      <c r="BS17" s="47" t="s">
        <v>89</v>
      </c>
      <c r="BT17" s="47"/>
      <c r="BU17" s="47"/>
      <c r="BV17" s="47"/>
      <c r="BW17" s="47"/>
      <c r="BX17" s="47"/>
      <c r="BY17" s="47"/>
      <c r="BZ17" s="47" t="s">
        <v>55</v>
      </c>
      <c r="CA17" s="47"/>
      <c r="CB17" s="48">
        <v>45976</v>
      </c>
    </row>
    <row r="18" spans="1:1009" s="49" customFormat="1" ht="15.75" x14ac:dyDescent="0.25">
      <c r="A18" s="28">
        <v>45977</v>
      </c>
      <c r="B18" s="29" t="s">
        <v>39</v>
      </c>
      <c r="C18" s="30"/>
      <c r="D18" s="29"/>
      <c r="E18" s="31"/>
      <c r="F18" s="32"/>
      <c r="G18" s="32"/>
      <c r="H18" s="33"/>
      <c r="I18" s="34"/>
      <c r="J18" s="35"/>
      <c r="K18" s="35"/>
      <c r="L18" s="35"/>
      <c r="M18" s="32"/>
      <c r="N18" s="33"/>
      <c r="O18" s="164" t="s">
        <v>49</v>
      </c>
      <c r="P18" s="164"/>
      <c r="Q18" s="33" t="s">
        <v>84</v>
      </c>
      <c r="R18" s="36" t="s">
        <v>58</v>
      </c>
      <c r="S18" s="37"/>
      <c r="T18" s="36" t="s">
        <v>35</v>
      </c>
      <c r="U18" s="33" t="s">
        <v>35</v>
      </c>
      <c r="V18" s="38"/>
      <c r="W18" s="39"/>
      <c r="X18" s="39"/>
      <c r="Y18" s="40"/>
      <c r="Z18" s="41"/>
      <c r="AA18" s="50"/>
      <c r="AB18" s="40"/>
      <c r="AC18" s="38"/>
      <c r="AD18" s="40"/>
      <c r="AE18" s="42"/>
      <c r="AF18" s="39"/>
      <c r="AG18" s="40"/>
      <c r="AH18" s="50"/>
      <c r="AI18" s="51"/>
      <c r="AJ18" s="52"/>
      <c r="AK18" s="42"/>
      <c r="AL18" s="53"/>
      <c r="AM18" s="50"/>
      <c r="AN18" s="52"/>
      <c r="AO18" s="38"/>
      <c r="AP18" s="40"/>
      <c r="AQ18" s="44"/>
      <c r="AR18" s="45"/>
      <c r="AS18" s="28">
        <v>45977</v>
      </c>
      <c r="AT18" s="42"/>
      <c r="AU18" s="46"/>
      <c r="AV18" s="42"/>
      <c r="AW18" s="46"/>
      <c r="AX18" s="46"/>
      <c r="AY18" s="46"/>
      <c r="AZ18" s="28">
        <v>45977</v>
      </c>
      <c r="BA18" s="47"/>
      <c r="BB18" s="47"/>
      <c r="BC18" s="47"/>
      <c r="BD18" s="47"/>
      <c r="BE18" s="47"/>
      <c r="BF18" s="47"/>
      <c r="BG18" s="47" t="s">
        <v>75</v>
      </c>
      <c r="BH18" s="47" t="s">
        <v>43</v>
      </c>
      <c r="BI18" s="47"/>
      <c r="BJ18" s="47"/>
      <c r="BK18" s="47"/>
      <c r="BL18" s="47" t="s">
        <v>79</v>
      </c>
      <c r="BM18" s="47"/>
      <c r="BN18" s="47"/>
      <c r="BO18" s="47"/>
      <c r="BP18" s="47"/>
      <c r="BQ18" s="47"/>
      <c r="BR18" s="47"/>
      <c r="BS18" s="47" t="s">
        <v>89</v>
      </c>
      <c r="BT18" s="47" t="s">
        <v>40</v>
      </c>
      <c r="BU18" s="47"/>
      <c r="BV18" s="47"/>
      <c r="BW18" s="47"/>
      <c r="BX18" s="47"/>
      <c r="BY18" s="47"/>
      <c r="BZ18" s="47" t="s">
        <v>55</v>
      </c>
      <c r="CA18" s="47"/>
      <c r="CB18" s="48">
        <v>45977</v>
      </c>
    </row>
    <row r="19" spans="1:1009" ht="15.75" x14ac:dyDescent="0.25">
      <c r="A19" s="54">
        <v>45978</v>
      </c>
      <c r="B19" s="55" t="s">
        <v>41</v>
      </c>
      <c r="C19" s="56"/>
      <c r="D19" s="57"/>
      <c r="E19" s="58" t="s">
        <v>42</v>
      </c>
      <c r="F19" s="59" t="s">
        <v>74</v>
      </c>
      <c r="G19" s="60" t="s">
        <v>74</v>
      </c>
      <c r="H19" s="61"/>
      <c r="I19" s="58" t="s">
        <v>66</v>
      </c>
      <c r="J19" s="62" t="s">
        <v>63</v>
      </c>
      <c r="K19" s="133"/>
      <c r="L19" s="63" t="s">
        <v>100</v>
      </c>
      <c r="M19" s="63" t="s">
        <v>66</v>
      </c>
      <c r="N19" s="64"/>
      <c r="O19" s="58" t="s">
        <v>100</v>
      </c>
      <c r="P19" s="60" t="s">
        <v>63</v>
      </c>
      <c r="Q19" s="65" t="s">
        <v>37</v>
      </c>
      <c r="R19" s="66" t="s">
        <v>101</v>
      </c>
      <c r="S19" s="67"/>
      <c r="T19" s="66"/>
      <c r="U19" s="154" t="s">
        <v>47</v>
      </c>
      <c r="V19" s="68" t="s">
        <v>62</v>
      </c>
      <c r="W19" s="69" t="s">
        <v>70</v>
      </c>
      <c r="X19" s="70" t="s">
        <v>52</v>
      </c>
      <c r="Y19" s="139"/>
      <c r="Z19" s="71" t="s">
        <v>53</v>
      </c>
      <c r="AA19" s="72"/>
      <c r="AB19" s="75" t="s">
        <v>62</v>
      </c>
      <c r="AC19" s="160" t="s">
        <v>118</v>
      </c>
      <c r="AD19" s="75" t="s">
        <v>53</v>
      </c>
      <c r="AE19" s="131" t="s">
        <v>46</v>
      </c>
      <c r="AF19" s="70" t="s">
        <v>45</v>
      </c>
      <c r="AG19" s="76"/>
      <c r="AH19" s="110" t="s">
        <v>68</v>
      </c>
      <c r="AI19" s="70" t="s">
        <v>55</v>
      </c>
      <c r="AJ19" s="76"/>
      <c r="AK19" s="78" t="s">
        <v>56</v>
      </c>
      <c r="AL19" s="75" t="s">
        <v>56</v>
      </c>
      <c r="AM19" s="78" t="s">
        <v>45</v>
      </c>
      <c r="AN19" s="75" t="s">
        <v>68</v>
      </c>
      <c r="AO19" s="68" t="s">
        <v>52</v>
      </c>
      <c r="AP19" s="75" t="s">
        <v>57</v>
      </c>
      <c r="AQ19" s="116" t="s">
        <v>35</v>
      </c>
      <c r="AR19" s="45"/>
      <c r="AS19" s="54">
        <v>45978</v>
      </c>
      <c r="AT19" s="80"/>
      <c r="AU19" s="81"/>
      <c r="AV19" s="82"/>
      <c r="AW19" s="83"/>
      <c r="AX19" s="83"/>
      <c r="AY19" s="84"/>
      <c r="AZ19" s="54">
        <v>45978</v>
      </c>
      <c r="BA19" s="85"/>
      <c r="BB19" s="85"/>
      <c r="BC19" s="85"/>
      <c r="BD19" s="85"/>
      <c r="BE19" s="85" t="s">
        <v>59</v>
      </c>
      <c r="BF19" s="85"/>
      <c r="BG19" s="85" t="s">
        <v>75</v>
      </c>
      <c r="BH19" s="85" t="s">
        <v>43</v>
      </c>
      <c r="BI19" s="85"/>
      <c r="BJ19" s="85"/>
      <c r="BK19" s="85"/>
      <c r="BL19" s="85"/>
      <c r="BM19" s="85"/>
      <c r="BN19" s="85"/>
      <c r="BO19" s="85"/>
      <c r="BP19" s="85"/>
      <c r="BQ19" s="85" t="s">
        <v>36</v>
      </c>
      <c r="BR19" s="85"/>
      <c r="BS19" s="85" t="s">
        <v>89</v>
      </c>
      <c r="BT19" s="85" t="s">
        <v>40</v>
      </c>
      <c r="BU19" s="85"/>
      <c r="BV19" s="85"/>
      <c r="BW19" s="85"/>
      <c r="BX19" s="85"/>
      <c r="BY19" s="85"/>
      <c r="BZ19" s="85"/>
      <c r="CA19" s="85"/>
      <c r="CB19" s="86">
        <v>45978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5.75" x14ac:dyDescent="0.25">
      <c r="A20" s="54">
        <v>45979</v>
      </c>
      <c r="B20" s="55" t="s">
        <v>60</v>
      </c>
      <c r="C20" s="56"/>
      <c r="D20" s="57"/>
      <c r="E20" s="58" t="s">
        <v>91</v>
      </c>
      <c r="F20" s="108"/>
      <c r="G20" s="60" t="s">
        <v>91</v>
      </c>
      <c r="H20" s="87" t="s">
        <v>62</v>
      </c>
      <c r="I20" s="58" t="s">
        <v>66</v>
      </c>
      <c r="J20" s="99" t="s">
        <v>70</v>
      </c>
      <c r="K20" s="99"/>
      <c r="L20" s="63" t="s">
        <v>44</v>
      </c>
      <c r="M20" s="121" t="s">
        <v>51</v>
      </c>
      <c r="N20" s="87" t="s">
        <v>45</v>
      </c>
      <c r="O20" s="90" t="s">
        <v>48</v>
      </c>
      <c r="P20" s="63" t="s">
        <v>100</v>
      </c>
      <c r="Q20" s="65" t="s">
        <v>89</v>
      </c>
      <c r="R20" s="66" t="s">
        <v>70</v>
      </c>
      <c r="S20" s="67"/>
      <c r="T20" s="66"/>
      <c r="U20" s="154" t="s">
        <v>91</v>
      </c>
      <c r="V20" s="68" t="s">
        <v>100</v>
      </c>
      <c r="W20" s="69" t="s">
        <v>109</v>
      </c>
      <c r="X20" s="91"/>
      <c r="Y20" s="76"/>
      <c r="Z20" s="71" t="s">
        <v>53</v>
      </c>
      <c r="AA20" s="68" t="s">
        <v>62</v>
      </c>
      <c r="AB20" s="75" t="s">
        <v>64</v>
      </c>
      <c r="AC20" s="141" t="s">
        <v>65</v>
      </c>
      <c r="AD20" s="76"/>
      <c r="AE20" s="93" t="s">
        <v>46</v>
      </c>
      <c r="AF20" s="70" t="s">
        <v>46</v>
      </c>
      <c r="AG20" s="94" t="s">
        <v>46</v>
      </c>
      <c r="AH20" s="138" t="s">
        <v>45</v>
      </c>
      <c r="AI20" s="70" t="s">
        <v>65</v>
      </c>
      <c r="AJ20" s="94" t="s">
        <v>65</v>
      </c>
      <c r="AK20" s="68" t="s">
        <v>63</v>
      </c>
      <c r="AL20" s="75" t="s">
        <v>68</v>
      </c>
      <c r="AM20" s="68" t="s">
        <v>56</v>
      </c>
      <c r="AN20" s="75" t="s">
        <v>63</v>
      </c>
      <c r="AO20" s="68" t="s">
        <v>51</v>
      </c>
      <c r="AP20" s="75" t="s">
        <v>57</v>
      </c>
      <c r="AQ20" s="79"/>
      <c r="AR20" s="45"/>
      <c r="AS20" s="54">
        <v>45979</v>
      </c>
      <c r="AT20" s="80"/>
      <c r="AU20" s="81"/>
      <c r="AV20" s="117" t="s">
        <v>56</v>
      </c>
      <c r="AW20" s="84"/>
      <c r="AX20" s="98"/>
      <c r="AY20" s="98"/>
      <c r="AZ20" s="54">
        <v>45979</v>
      </c>
      <c r="BA20" s="85"/>
      <c r="BB20" s="85"/>
      <c r="BC20" s="85"/>
      <c r="BD20" s="85"/>
      <c r="BE20" s="85"/>
      <c r="BF20" s="85"/>
      <c r="BG20" s="85" t="s">
        <v>75</v>
      </c>
      <c r="BH20" s="85" t="s">
        <v>43</v>
      </c>
      <c r="BI20" s="85"/>
      <c r="BJ20" s="85"/>
      <c r="BK20" s="85"/>
      <c r="BL20" s="85"/>
      <c r="BM20" s="85"/>
      <c r="BN20" s="85"/>
      <c r="BO20" s="85"/>
      <c r="BP20" s="85"/>
      <c r="BQ20" s="85" t="s">
        <v>36</v>
      </c>
      <c r="BR20" s="85"/>
      <c r="BS20" s="85"/>
      <c r="BT20" s="85" t="s">
        <v>40</v>
      </c>
      <c r="BU20" s="85"/>
      <c r="BV20" s="85"/>
      <c r="BW20" s="85"/>
      <c r="BX20" s="85"/>
      <c r="BY20" s="85"/>
      <c r="BZ20" s="85"/>
      <c r="CA20" s="85"/>
      <c r="CB20" s="86">
        <v>45979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5.75" x14ac:dyDescent="0.25">
      <c r="A21" s="54">
        <v>45980</v>
      </c>
      <c r="B21" s="55" t="s">
        <v>73</v>
      </c>
      <c r="C21" s="56"/>
      <c r="D21" s="57"/>
      <c r="E21" s="58" t="s">
        <v>42</v>
      </c>
      <c r="F21" s="108"/>
      <c r="G21" s="60" t="s">
        <v>47</v>
      </c>
      <c r="H21" s="61"/>
      <c r="I21" s="58" t="s">
        <v>76</v>
      </c>
      <c r="J21" s="62" t="s">
        <v>61</v>
      </c>
      <c r="K21" s="99" t="s">
        <v>79</v>
      </c>
      <c r="L21" s="89" t="s">
        <v>79</v>
      </c>
      <c r="M21" s="60" t="s">
        <v>62</v>
      </c>
      <c r="N21" s="61"/>
      <c r="O21" s="90" t="s">
        <v>57</v>
      </c>
      <c r="P21" s="60" t="s">
        <v>63</v>
      </c>
      <c r="Q21" s="65" t="s">
        <v>35</v>
      </c>
      <c r="R21" s="66" t="s">
        <v>79</v>
      </c>
      <c r="S21" s="67"/>
      <c r="T21" s="66"/>
      <c r="U21" s="154" t="s">
        <v>113</v>
      </c>
      <c r="V21" s="68" t="s">
        <v>44</v>
      </c>
      <c r="W21" s="69" t="s">
        <v>106</v>
      </c>
      <c r="X21" s="70" t="s">
        <v>44</v>
      </c>
      <c r="Y21" s="139"/>
      <c r="Z21" s="71" t="s">
        <v>47</v>
      </c>
      <c r="AA21" s="129" t="s">
        <v>54</v>
      </c>
      <c r="AB21" s="140" t="s">
        <v>64</v>
      </c>
      <c r="AC21" s="129" t="s">
        <v>64</v>
      </c>
      <c r="AD21" s="75" t="s">
        <v>54</v>
      </c>
      <c r="AE21" s="131" t="s">
        <v>45</v>
      </c>
      <c r="AF21" s="124" t="s">
        <v>57</v>
      </c>
      <c r="AG21" s="94" t="s">
        <v>57</v>
      </c>
      <c r="AH21" s="138" t="s">
        <v>117</v>
      </c>
      <c r="AI21" s="161" t="s">
        <v>114</v>
      </c>
      <c r="AJ21" s="162" t="s">
        <v>119</v>
      </c>
      <c r="AK21" s="78" t="s">
        <v>63</v>
      </c>
      <c r="AL21" s="140" t="s">
        <v>120</v>
      </c>
      <c r="AM21" s="78" t="s">
        <v>51</v>
      </c>
      <c r="AN21" s="73"/>
      <c r="AO21" s="92"/>
      <c r="AP21" s="75" t="s">
        <v>45</v>
      </c>
      <c r="AQ21" s="79"/>
      <c r="AR21" s="45"/>
      <c r="AS21" s="54">
        <v>45980</v>
      </c>
      <c r="AT21" s="102"/>
      <c r="AU21" s="103"/>
      <c r="AV21" s="82"/>
      <c r="AW21" s="83"/>
      <c r="AX21" s="84"/>
      <c r="AY21" s="98"/>
      <c r="AZ21" s="54">
        <v>45980</v>
      </c>
      <c r="BA21" s="85" t="s">
        <v>58</v>
      </c>
      <c r="BB21" s="85" t="s">
        <v>74</v>
      </c>
      <c r="BC21" s="85"/>
      <c r="BD21" s="85" t="s">
        <v>32</v>
      </c>
      <c r="BE21" s="85"/>
      <c r="BF21" s="85" t="s">
        <v>31</v>
      </c>
      <c r="BG21" s="85"/>
      <c r="BH21" s="85" t="s">
        <v>102</v>
      </c>
      <c r="BI21" s="85"/>
      <c r="BJ21" s="85"/>
      <c r="BK21" s="85"/>
      <c r="BL21" s="85"/>
      <c r="BM21" s="85" t="s">
        <v>80</v>
      </c>
      <c r="BN21" s="85"/>
      <c r="BO21" s="85" t="s">
        <v>99</v>
      </c>
      <c r="BP21" s="85"/>
      <c r="BQ21" s="85" t="s">
        <v>36</v>
      </c>
      <c r="BR21" s="85"/>
      <c r="BS21" s="85" t="s">
        <v>69</v>
      </c>
      <c r="BT21" s="85"/>
      <c r="BU21" s="85"/>
      <c r="BV21" s="85" t="s">
        <v>103</v>
      </c>
      <c r="BW21" s="85" t="s">
        <v>38</v>
      </c>
      <c r="BX21" s="85"/>
      <c r="BY21" s="85"/>
      <c r="BZ21" s="85" t="s">
        <v>55</v>
      </c>
      <c r="CA21" s="85"/>
      <c r="CB21" s="86">
        <v>45980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5.75" x14ac:dyDescent="0.25">
      <c r="A22" s="54">
        <v>45981</v>
      </c>
      <c r="B22" s="55" t="s">
        <v>83</v>
      </c>
      <c r="C22" s="56"/>
      <c r="D22" s="57"/>
      <c r="E22" s="58" t="s">
        <v>54</v>
      </c>
      <c r="F22" s="108"/>
      <c r="G22" s="60" t="s">
        <v>76</v>
      </c>
      <c r="H22" s="61"/>
      <c r="I22" s="153" t="s">
        <v>62</v>
      </c>
      <c r="J22" s="62" t="s">
        <v>64</v>
      </c>
      <c r="K22" s="99" t="s">
        <v>72</v>
      </c>
      <c r="L22" s="63" t="s">
        <v>47</v>
      </c>
      <c r="M22" s="89" t="s">
        <v>72</v>
      </c>
      <c r="N22" s="61"/>
      <c r="O22" s="90" t="s">
        <v>57</v>
      </c>
      <c r="P22" s="60" t="s">
        <v>100</v>
      </c>
      <c r="Q22" s="65" t="s">
        <v>31</v>
      </c>
      <c r="R22" s="66" t="s">
        <v>72</v>
      </c>
      <c r="S22" s="67"/>
      <c r="T22" s="66"/>
      <c r="U22" s="154" t="s">
        <v>62</v>
      </c>
      <c r="V22" s="68" t="s">
        <v>76</v>
      </c>
      <c r="W22" s="69" t="s">
        <v>108</v>
      </c>
      <c r="X22" s="91"/>
      <c r="Y22" s="76"/>
      <c r="Z22" s="71" t="s">
        <v>61</v>
      </c>
      <c r="AA22" s="68" t="s">
        <v>53</v>
      </c>
      <c r="AB22" s="163" t="s">
        <v>114</v>
      </c>
      <c r="AC22" s="68" t="s">
        <v>44</v>
      </c>
      <c r="AD22" s="140" t="s">
        <v>66</v>
      </c>
      <c r="AE22" s="93" t="s">
        <v>63</v>
      </c>
      <c r="AF22" s="70" t="s">
        <v>53</v>
      </c>
      <c r="AG22" s="94" t="s">
        <v>53</v>
      </c>
      <c r="AH22" s="138" t="s">
        <v>46</v>
      </c>
      <c r="AI22" s="124" t="s">
        <v>51</v>
      </c>
      <c r="AJ22" s="101"/>
      <c r="AK22" s="80" t="s">
        <v>52</v>
      </c>
      <c r="AL22" s="140" t="s">
        <v>57</v>
      </c>
      <c r="AM22" s="80" t="s">
        <v>66</v>
      </c>
      <c r="AN22" s="73"/>
      <c r="AO22" s="68" t="s">
        <v>68</v>
      </c>
      <c r="AP22" s="75" t="s">
        <v>46</v>
      </c>
      <c r="AQ22" s="79"/>
      <c r="AR22" s="45"/>
      <c r="AS22" s="54">
        <v>45981</v>
      </c>
      <c r="AT22" s="80"/>
      <c r="AU22" s="104"/>
      <c r="AV22" s="105"/>
      <c r="AW22" s="106"/>
      <c r="AX22" s="98"/>
      <c r="AY22" s="106"/>
      <c r="AZ22" s="54">
        <v>45981</v>
      </c>
      <c r="BA22" s="85" t="s">
        <v>58</v>
      </c>
      <c r="BB22" s="85" t="s">
        <v>74</v>
      </c>
      <c r="BC22" s="85"/>
      <c r="BD22" s="85"/>
      <c r="BE22" s="85"/>
      <c r="BF22" s="85"/>
      <c r="BG22" s="85"/>
      <c r="BH22" s="85" t="s">
        <v>102</v>
      </c>
      <c r="BI22" s="85"/>
      <c r="BJ22" s="85"/>
      <c r="BK22" s="85"/>
      <c r="BL22" s="85" t="s">
        <v>104</v>
      </c>
      <c r="BM22" s="85" t="s">
        <v>80</v>
      </c>
      <c r="BN22" s="85"/>
      <c r="BO22" s="85"/>
      <c r="BP22" s="85"/>
      <c r="BQ22" s="85"/>
      <c r="BR22" s="85"/>
      <c r="BS22" s="85" t="s">
        <v>89</v>
      </c>
      <c r="BT22" s="85"/>
      <c r="BU22" s="85"/>
      <c r="BV22" s="85" t="s">
        <v>84</v>
      </c>
      <c r="BW22" s="85"/>
      <c r="BX22" s="85"/>
      <c r="BY22" s="85"/>
      <c r="BZ22" s="85"/>
      <c r="CA22" s="85" t="s">
        <v>33</v>
      </c>
      <c r="CB22" s="86">
        <v>45981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5.75" x14ac:dyDescent="0.25">
      <c r="A23" s="54">
        <v>45982</v>
      </c>
      <c r="B23" s="55" t="s">
        <v>88</v>
      </c>
      <c r="C23" s="56"/>
      <c r="D23" s="57"/>
      <c r="E23" s="58" t="s">
        <v>64</v>
      </c>
      <c r="F23" s="59" t="s">
        <v>76</v>
      </c>
      <c r="G23" s="60" t="s">
        <v>62</v>
      </c>
      <c r="H23" s="87" t="s">
        <v>47</v>
      </c>
      <c r="I23" s="58" t="s">
        <v>91</v>
      </c>
      <c r="J23" s="62" t="s">
        <v>44</v>
      </c>
      <c r="K23" s="99" t="s">
        <v>71</v>
      </c>
      <c r="L23" s="63" t="s">
        <v>91</v>
      </c>
      <c r="M23" s="89" t="s">
        <v>71</v>
      </c>
      <c r="N23" s="87" t="s">
        <v>48</v>
      </c>
      <c r="O23" s="58" t="s">
        <v>100</v>
      </c>
      <c r="P23" s="60" t="s">
        <v>63</v>
      </c>
      <c r="Q23" s="65" t="s">
        <v>34</v>
      </c>
      <c r="R23" s="66" t="s">
        <v>71</v>
      </c>
      <c r="S23" s="67"/>
      <c r="T23" s="66"/>
      <c r="U23" s="154" t="s">
        <v>74</v>
      </c>
      <c r="V23" s="68" t="s">
        <v>62</v>
      </c>
      <c r="W23" s="69" t="s">
        <v>107</v>
      </c>
      <c r="X23" s="91"/>
      <c r="Y23" s="76"/>
      <c r="Z23" s="71" t="s">
        <v>65</v>
      </c>
      <c r="AA23" s="78" t="s">
        <v>47</v>
      </c>
      <c r="AB23" s="75" t="s">
        <v>76</v>
      </c>
      <c r="AC23" s="109"/>
      <c r="AD23" s="75" t="s">
        <v>46</v>
      </c>
      <c r="AE23" s="93" t="s">
        <v>45</v>
      </c>
      <c r="AF23" s="70" t="s">
        <v>67</v>
      </c>
      <c r="AG23" s="76"/>
      <c r="AH23" s="110" t="s">
        <v>48</v>
      </c>
      <c r="AI23" s="70" t="s">
        <v>57</v>
      </c>
      <c r="AJ23" s="76"/>
      <c r="AK23" s="78" t="s">
        <v>52</v>
      </c>
      <c r="AL23" s="75" t="s">
        <v>65</v>
      </c>
      <c r="AM23" s="78" t="s">
        <v>57</v>
      </c>
      <c r="AN23" s="75" t="s">
        <v>100</v>
      </c>
      <c r="AO23" s="68" t="s">
        <v>67</v>
      </c>
      <c r="AP23" s="75" t="s">
        <v>52</v>
      </c>
      <c r="AQ23" s="79"/>
      <c r="AR23" s="45"/>
      <c r="AS23" s="54">
        <v>45982</v>
      </c>
      <c r="AT23" s="80"/>
      <c r="AU23" s="97"/>
      <c r="AV23" s="105"/>
      <c r="AW23" s="124"/>
      <c r="AX23" s="83"/>
      <c r="AY23" s="124"/>
      <c r="AZ23" s="54">
        <v>45982</v>
      </c>
      <c r="BA23" s="85" t="s">
        <v>58</v>
      </c>
      <c r="BB23" s="85"/>
      <c r="BC23" s="85"/>
      <c r="BD23" s="85"/>
      <c r="BE23" s="85"/>
      <c r="BF23" s="85"/>
      <c r="BG23" s="85" t="s">
        <v>75</v>
      </c>
      <c r="BH23" s="85" t="s">
        <v>43</v>
      </c>
      <c r="BI23" s="85"/>
      <c r="BJ23" s="85"/>
      <c r="BK23" s="85" t="s">
        <v>98</v>
      </c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 t="s">
        <v>84</v>
      </c>
      <c r="BW23" s="85"/>
      <c r="BX23" s="85"/>
      <c r="BY23" s="85"/>
      <c r="BZ23" s="85"/>
      <c r="CA23" s="85"/>
      <c r="CB23" s="86">
        <v>45982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s="49" customFormat="1" ht="15.75" x14ac:dyDescent="0.25">
      <c r="A24" s="28">
        <v>45983</v>
      </c>
      <c r="B24" s="29" t="s">
        <v>30</v>
      </c>
      <c r="C24" s="30"/>
      <c r="D24" s="29"/>
      <c r="E24" s="31"/>
      <c r="F24" s="32"/>
      <c r="G24" s="32"/>
      <c r="H24" s="33"/>
      <c r="I24" s="34"/>
      <c r="J24" s="35"/>
      <c r="K24" s="35"/>
      <c r="L24" s="35"/>
      <c r="M24" s="126"/>
      <c r="N24" s="33"/>
      <c r="O24" s="164" t="s">
        <v>38</v>
      </c>
      <c r="P24" s="164"/>
      <c r="Q24" s="33" t="s">
        <v>74</v>
      </c>
      <c r="R24" s="36" t="s">
        <v>79</v>
      </c>
      <c r="S24" s="37"/>
      <c r="T24" s="36" t="s">
        <v>74</v>
      </c>
      <c r="U24" s="33" t="s">
        <v>38</v>
      </c>
      <c r="V24" s="38"/>
      <c r="W24" s="39"/>
      <c r="X24" s="39"/>
      <c r="Y24" s="40"/>
      <c r="Z24" s="41"/>
      <c r="AA24" s="42"/>
      <c r="AB24" s="40"/>
      <c r="AC24" s="38"/>
      <c r="AD24" s="40"/>
      <c r="AE24" s="42"/>
      <c r="AF24" s="39"/>
      <c r="AG24" s="40"/>
      <c r="AH24" s="38"/>
      <c r="AI24" s="39"/>
      <c r="AJ24" s="40"/>
      <c r="AK24" s="42"/>
      <c r="AL24" s="40"/>
      <c r="AM24" s="43"/>
      <c r="AN24" s="33"/>
      <c r="AO24" s="38"/>
      <c r="AP24" s="40"/>
      <c r="AQ24" s="44"/>
      <c r="AR24" s="45"/>
      <c r="AS24" s="28">
        <v>45983</v>
      </c>
      <c r="AT24" s="42"/>
      <c r="AU24" s="46"/>
      <c r="AV24" s="42"/>
      <c r="AW24" s="46"/>
      <c r="AX24" s="46"/>
      <c r="AY24" s="46"/>
      <c r="AZ24" s="28">
        <v>45983</v>
      </c>
      <c r="BA24" s="47"/>
      <c r="BB24" s="47"/>
      <c r="BC24" s="47"/>
      <c r="BD24" s="47"/>
      <c r="BE24" s="47"/>
      <c r="BF24" s="47"/>
      <c r="BG24" s="47" t="s">
        <v>75</v>
      </c>
      <c r="BH24" s="47"/>
      <c r="BI24" s="47"/>
      <c r="BJ24" s="47"/>
      <c r="BK24" s="47" t="s">
        <v>49</v>
      </c>
      <c r="BL24" s="47"/>
      <c r="BM24" s="47"/>
      <c r="BN24" s="47"/>
      <c r="BO24" s="47"/>
      <c r="BP24" s="47"/>
      <c r="BQ24" s="47"/>
      <c r="BR24" s="47"/>
      <c r="BS24" s="47" t="s">
        <v>89</v>
      </c>
      <c r="BT24" s="47"/>
      <c r="BU24" s="47"/>
      <c r="BV24" s="47" t="s">
        <v>84</v>
      </c>
      <c r="BW24" s="47"/>
      <c r="BX24" s="47"/>
      <c r="BY24" s="47"/>
      <c r="BZ24" s="47"/>
      <c r="CA24" s="47" t="s">
        <v>33</v>
      </c>
      <c r="CB24" s="48">
        <v>45983</v>
      </c>
    </row>
    <row r="25" spans="1:1009" s="49" customFormat="1" ht="15.75" x14ac:dyDescent="0.25">
      <c r="A25" s="28">
        <v>45984</v>
      </c>
      <c r="B25" s="29" t="s">
        <v>39</v>
      </c>
      <c r="C25" s="30"/>
      <c r="D25" s="29"/>
      <c r="E25" s="31"/>
      <c r="F25" s="32"/>
      <c r="G25" s="32"/>
      <c r="H25" s="33"/>
      <c r="I25" s="34"/>
      <c r="J25" s="35"/>
      <c r="K25" s="35"/>
      <c r="L25" s="35"/>
      <c r="M25" s="32"/>
      <c r="N25" s="33"/>
      <c r="O25" s="164" t="s">
        <v>34</v>
      </c>
      <c r="P25" s="164"/>
      <c r="Q25" s="33" t="s">
        <v>38</v>
      </c>
      <c r="R25" s="36" t="s">
        <v>36</v>
      </c>
      <c r="S25" s="37"/>
      <c r="T25" s="36" t="s">
        <v>74</v>
      </c>
      <c r="U25" s="33" t="s">
        <v>74</v>
      </c>
      <c r="V25" s="38"/>
      <c r="W25" s="39"/>
      <c r="X25" s="39"/>
      <c r="Y25" s="40"/>
      <c r="Z25" s="41"/>
      <c r="AA25" s="50"/>
      <c r="AB25" s="40"/>
      <c r="AC25" s="38"/>
      <c r="AD25" s="40"/>
      <c r="AE25" s="42"/>
      <c r="AF25" s="39"/>
      <c r="AG25" s="40"/>
      <c r="AH25" s="50"/>
      <c r="AI25" s="51"/>
      <c r="AJ25" s="52"/>
      <c r="AK25" s="42"/>
      <c r="AL25" s="53"/>
      <c r="AM25" s="50"/>
      <c r="AN25" s="52"/>
      <c r="AO25" s="38"/>
      <c r="AP25" s="40"/>
      <c r="AQ25" s="44"/>
      <c r="AR25" s="45"/>
      <c r="AS25" s="28">
        <v>45984</v>
      </c>
      <c r="AT25" s="42"/>
      <c r="AU25" s="46"/>
      <c r="AV25" s="42"/>
      <c r="AW25" s="46"/>
      <c r="AX25" s="46"/>
      <c r="AY25" s="46"/>
      <c r="AZ25" s="28">
        <v>45984</v>
      </c>
      <c r="BA25" s="47"/>
      <c r="BB25" s="47"/>
      <c r="BC25" s="47"/>
      <c r="BD25" s="47"/>
      <c r="BE25" s="47"/>
      <c r="BF25" s="47"/>
      <c r="BG25" s="47" t="s">
        <v>75</v>
      </c>
      <c r="BH25" s="47"/>
      <c r="BI25" s="47"/>
      <c r="BJ25" s="47"/>
      <c r="BK25" s="47" t="s">
        <v>49</v>
      </c>
      <c r="BL25" s="47"/>
      <c r="BM25" s="47"/>
      <c r="BN25" s="47"/>
      <c r="BO25" s="47"/>
      <c r="BP25" s="47"/>
      <c r="BQ25" s="47"/>
      <c r="BR25" s="47"/>
      <c r="BS25" s="47" t="s">
        <v>89</v>
      </c>
      <c r="BT25" s="47"/>
      <c r="BU25" s="47"/>
      <c r="BV25" s="47" t="s">
        <v>84</v>
      </c>
      <c r="BW25" s="47"/>
      <c r="BX25" s="47"/>
      <c r="BY25" s="47"/>
      <c r="BZ25" s="47"/>
      <c r="CA25" s="47" t="s">
        <v>33</v>
      </c>
      <c r="CB25" s="48">
        <v>45984</v>
      </c>
    </row>
    <row r="26" spans="1:1009" ht="15.75" x14ac:dyDescent="0.25">
      <c r="A26" s="54">
        <v>45985</v>
      </c>
      <c r="B26" s="55" t="s">
        <v>41</v>
      </c>
      <c r="C26" s="56"/>
      <c r="D26" s="57"/>
      <c r="E26" s="58" t="s">
        <v>42</v>
      </c>
      <c r="F26" s="59" t="s">
        <v>43</v>
      </c>
      <c r="G26" s="60" t="s">
        <v>42</v>
      </c>
      <c r="H26" s="87" t="s">
        <v>43</v>
      </c>
      <c r="I26" s="88" t="s">
        <v>71</v>
      </c>
      <c r="J26" s="62" t="s">
        <v>52</v>
      </c>
      <c r="K26" s="62" t="s">
        <v>44</v>
      </c>
      <c r="L26" s="121" t="s">
        <v>62</v>
      </c>
      <c r="M26" s="63" t="s">
        <v>44</v>
      </c>
      <c r="N26" s="127" t="s">
        <v>52</v>
      </c>
      <c r="O26" s="58" t="s">
        <v>92</v>
      </c>
      <c r="P26" s="60" t="s">
        <v>66</v>
      </c>
      <c r="Q26" s="113" t="s">
        <v>70</v>
      </c>
      <c r="R26" s="114" t="s">
        <v>71</v>
      </c>
      <c r="S26" s="115"/>
      <c r="T26" s="114"/>
      <c r="U26" s="113" t="s">
        <v>76</v>
      </c>
      <c r="V26" s="68" t="s">
        <v>62</v>
      </c>
      <c r="W26" s="69" t="s">
        <v>107</v>
      </c>
      <c r="X26" s="70" t="s">
        <v>47</v>
      </c>
      <c r="Y26" s="139"/>
      <c r="Z26" s="71" t="s">
        <v>53</v>
      </c>
      <c r="AA26" s="78" t="s">
        <v>66</v>
      </c>
      <c r="AB26" s="75" t="s">
        <v>76</v>
      </c>
      <c r="AC26" s="74" t="s">
        <v>76</v>
      </c>
      <c r="AD26" s="75" t="s">
        <v>53</v>
      </c>
      <c r="AE26" s="93" t="s">
        <v>63</v>
      </c>
      <c r="AF26" s="70" t="s">
        <v>63</v>
      </c>
      <c r="AG26" s="76"/>
      <c r="AH26" s="110" t="s">
        <v>51</v>
      </c>
      <c r="AI26" s="70" t="s">
        <v>55</v>
      </c>
      <c r="AJ26" s="76"/>
      <c r="AK26" s="78" t="s">
        <v>56</v>
      </c>
      <c r="AL26" s="75" t="s">
        <v>56</v>
      </c>
      <c r="AM26" s="72"/>
      <c r="AN26" s="75" t="s">
        <v>57</v>
      </c>
      <c r="AO26" s="68" t="s">
        <v>46</v>
      </c>
      <c r="AP26" s="75" t="s">
        <v>51</v>
      </c>
      <c r="AQ26" s="137"/>
      <c r="AR26" s="45"/>
      <c r="AS26" s="54">
        <v>45985</v>
      </c>
      <c r="AT26" s="80"/>
      <c r="AU26" s="97"/>
      <c r="AV26" s="82" t="s">
        <v>68</v>
      </c>
      <c r="AW26" s="84"/>
      <c r="AX26" s="84"/>
      <c r="AY26" s="84"/>
      <c r="AZ26" s="54">
        <v>45985</v>
      </c>
      <c r="BA26" s="85"/>
      <c r="BB26" s="85"/>
      <c r="BC26" s="85"/>
      <c r="BD26" s="85"/>
      <c r="BE26" s="85"/>
      <c r="BF26" s="85"/>
      <c r="BG26" s="85" t="s">
        <v>75</v>
      </c>
      <c r="BH26" s="85"/>
      <c r="BI26" s="85"/>
      <c r="BJ26" s="85"/>
      <c r="BK26" s="85"/>
      <c r="BL26" s="85"/>
      <c r="BM26" s="85"/>
      <c r="BN26" s="85"/>
      <c r="BO26" s="85"/>
      <c r="BP26" s="85"/>
      <c r="BQ26" s="85" t="s">
        <v>36</v>
      </c>
      <c r="BR26" s="85"/>
      <c r="BS26" s="85" t="s">
        <v>89</v>
      </c>
      <c r="BT26" s="85"/>
      <c r="BU26" s="85"/>
      <c r="BV26" s="85"/>
      <c r="BW26" s="85"/>
      <c r="BX26" s="85"/>
      <c r="BY26" s="85"/>
      <c r="BZ26" s="85"/>
      <c r="CA26" s="85"/>
      <c r="CB26" s="86">
        <v>45985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5.75" x14ac:dyDescent="0.25">
      <c r="A27" s="54">
        <v>45986</v>
      </c>
      <c r="B27" s="55" t="s">
        <v>60</v>
      </c>
      <c r="C27" s="56"/>
      <c r="D27" s="57"/>
      <c r="E27" s="58" t="s">
        <v>62</v>
      </c>
      <c r="F27" s="59" t="s">
        <v>75</v>
      </c>
      <c r="G27" s="60" t="s">
        <v>75</v>
      </c>
      <c r="H27" s="87" t="s">
        <v>62</v>
      </c>
      <c r="I27" s="58" t="s">
        <v>91</v>
      </c>
      <c r="J27" s="99" t="s">
        <v>37</v>
      </c>
      <c r="K27" s="62" t="s">
        <v>76</v>
      </c>
      <c r="L27" s="63" t="s">
        <v>91</v>
      </c>
      <c r="M27" s="60" t="s">
        <v>67</v>
      </c>
      <c r="N27" s="87" t="s">
        <v>44</v>
      </c>
      <c r="O27" s="90" t="s">
        <v>51</v>
      </c>
      <c r="P27" s="63" t="s">
        <v>51</v>
      </c>
      <c r="Q27" s="113" t="s">
        <v>74</v>
      </c>
      <c r="R27" s="114" t="s">
        <v>37</v>
      </c>
      <c r="S27" s="115"/>
      <c r="T27" s="114"/>
      <c r="U27" s="113" t="s">
        <v>112</v>
      </c>
      <c r="V27" s="68" t="s">
        <v>46</v>
      </c>
      <c r="W27" s="69" t="s">
        <v>106</v>
      </c>
      <c r="X27" s="91"/>
      <c r="Y27" s="76"/>
      <c r="Z27" s="71" t="s">
        <v>53</v>
      </c>
      <c r="AA27" s="68" t="s">
        <v>61</v>
      </c>
      <c r="AB27" s="75" t="s">
        <v>76</v>
      </c>
      <c r="AC27" s="68" t="s">
        <v>65</v>
      </c>
      <c r="AD27" s="76"/>
      <c r="AE27" s="93" t="s">
        <v>45</v>
      </c>
      <c r="AF27" s="70" t="s">
        <v>46</v>
      </c>
      <c r="AG27" s="94" t="s">
        <v>46</v>
      </c>
      <c r="AH27" s="95" t="s">
        <v>63</v>
      </c>
      <c r="AI27" s="70" t="s">
        <v>65</v>
      </c>
      <c r="AJ27" s="94" t="s">
        <v>65</v>
      </c>
      <c r="AK27" s="68" t="s">
        <v>100</v>
      </c>
      <c r="AL27" s="75" t="s">
        <v>68</v>
      </c>
      <c r="AM27" s="68" t="s">
        <v>67</v>
      </c>
      <c r="AN27" s="75" t="s">
        <v>63</v>
      </c>
      <c r="AO27" s="68" t="s">
        <v>56</v>
      </c>
      <c r="AP27" s="75" t="s">
        <v>45</v>
      </c>
      <c r="AQ27" s="79"/>
      <c r="AR27" s="45"/>
      <c r="AS27" s="54">
        <v>45986</v>
      </c>
      <c r="AT27" s="96"/>
      <c r="AU27" s="81"/>
      <c r="AV27" s="82" t="s">
        <v>56</v>
      </c>
      <c r="AW27" s="84" t="s">
        <v>100</v>
      </c>
      <c r="AX27" s="98"/>
      <c r="AY27" s="98" t="s">
        <v>57</v>
      </c>
      <c r="AZ27" s="54">
        <v>45986</v>
      </c>
      <c r="BA27" s="85" t="s">
        <v>58</v>
      </c>
      <c r="BB27" s="85"/>
      <c r="BC27" s="85"/>
      <c r="BD27" s="85"/>
      <c r="BE27" s="85"/>
      <c r="BF27" s="85"/>
      <c r="BG27" s="85"/>
      <c r="BH27" s="85" t="s">
        <v>43</v>
      </c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 t="s">
        <v>89</v>
      </c>
      <c r="BT27" s="85"/>
      <c r="BU27" s="85"/>
      <c r="BV27" s="85"/>
      <c r="BW27" s="85"/>
      <c r="BX27" s="85"/>
      <c r="BY27" s="85"/>
      <c r="BZ27" s="85"/>
      <c r="CA27" s="85"/>
      <c r="CB27" s="86">
        <v>45986</v>
      </c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5.75" x14ac:dyDescent="0.25">
      <c r="A28" s="54">
        <v>45987</v>
      </c>
      <c r="B28" s="55" t="s">
        <v>73</v>
      </c>
      <c r="C28" s="56"/>
      <c r="D28" s="57"/>
      <c r="E28" s="58" t="s">
        <v>42</v>
      </c>
      <c r="F28" s="59" t="s">
        <v>76</v>
      </c>
      <c r="G28" s="60" t="s">
        <v>54</v>
      </c>
      <c r="H28" s="87" t="s">
        <v>91</v>
      </c>
      <c r="I28" s="58" t="s">
        <v>45</v>
      </c>
      <c r="J28" s="59" t="s">
        <v>44</v>
      </c>
      <c r="K28" s="99" t="s">
        <v>72</v>
      </c>
      <c r="L28" s="60" t="s">
        <v>44</v>
      </c>
      <c r="M28" s="60" t="s">
        <v>47</v>
      </c>
      <c r="N28" s="61"/>
      <c r="O28" s="90" t="s">
        <v>68</v>
      </c>
      <c r="P28" s="60" t="s">
        <v>66</v>
      </c>
      <c r="Q28" s="113" t="s">
        <v>33</v>
      </c>
      <c r="R28" s="114" t="s">
        <v>72</v>
      </c>
      <c r="S28" s="113" t="s">
        <v>90</v>
      </c>
      <c r="T28" s="114"/>
      <c r="U28" s="113" t="s">
        <v>91</v>
      </c>
      <c r="V28" s="68" t="s">
        <v>57</v>
      </c>
      <c r="W28" s="69" t="s">
        <v>108</v>
      </c>
      <c r="X28" s="70" t="s">
        <v>62</v>
      </c>
      <c r="Y28" s="139"/>
      <c r="Z28" s="71" t="s">
        <v>47</v>
      </c>
      <c r="AA28" s="68" t="s">
        <v>63</v>
      </c>
      <c r="AB28" s="75" t="s">
        <v>36</v>
      </c>
      <c r="AC28" s="68" t="s">
        <v>46</v>
      </c>
      <c r="AD28" s="135" t="s">
        <v>116</v>
      </c>
      <c r="AE28" s="93" t="s">
        <v>67</v>
      </c>
      <c r="AF28" s="70" t="s">
        <v>52</v>
      </c>
      <c r="AG28" s="94" t="s">
        <v>52</v>
      </c>
      <c r="AH28" s="95" t="s">
        <v>77</v>
      </c>
      <c r="AI28" s="70" t="s">
        <v>45</v>
      </c>
      <c r="AJ28" s="94" t="s">
        <v>45</v>
      </c>
      <c r="AK28" s="78" t="s">
        <v>52</v>
      </c>
      <c r="AL28" s="135" t="s">
        <v>100</v>
      </c>
      <c r="AM28" s="78" t="s">
        <v>100</v>
      </c>
      <c r="AN28" s="75" t="s">
        <v>46</v>
      </c>
      <c r="AO28" s="68" t="s">
        <v>66</v>
      </c>
      <c r="AP28" s="75" t="s">
        <v>57</v>
      </c>
      <c r="AQ28" s="79"/>
      <c r="AR28" s="120" t="s">
        <v>97</v>
      </c>
      <c r="AS28" s="54">
        <v>45987</v>
      </c>
      <c r="AT28" s="80"/>
      <c r="AU28" s="97"/>
      <c r="AV28" s="82"/>
      <c r="AW28" s="84"/>
      <c r="AX28" s="83"/>
      <c r="AY28" s="98"/>
      <c r="AZ28" s="54">
        <v>45987</v>
      </c>
      <c r="BA28" s="85"/>
      <c r="BB28" s="85"/>
      <c r="BC28" s="85"/>
      <c r="BD28" s="85"/>
      <c r="BE28" s="85"/>
      <c r="BF28" s="85"/>
      <c r="BG28" s="85"/>
      <c r="BH28" s="85" t="s">
        <v>43</v>
      </c>
      <c r="BI28" s="85"/>
      <c r="BJ28" s="85"/>
      <c r="BK28" s="85"/>
      <c r="BL28" s="85"/>
      <c r="BM28" s="85" t="s">
        <v>80</v>
      </c>
      <c r="BN28" s="85"/>
      <c r="BO28" s="85"/>
      <c r="BP28" s="85"/>
      <c r="BQ28" s="85"/>
      <c r="BR28" s="85"/>
      <c r="BS28" s="85" t="s">
        <v>89</v>
      </c>
      <c r="BT28" s="85"/>
      <c r="BU28" s="85"/>
      <c r="BV28" s="85"/>
      <c r="BW28" s="85"/>
      <c r="BX28" s="85"/>
      <c r="BY28" s="85"/>
      <c r="BZ28" s="85"/>
      <c r="CA28" s="85"/>
      <c r="CB28" s="86">
        <v>45987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5.75" x14ac:dyDescent="0.25">
      <c r="A29" s="54">
        <v>45988</v>
      </c>
      <c r="B29" s="55" t="s">
        <v>83</v>
      </c>
      <c r="C29" s="56"/>
      <c r="D29" s="57"/>
      <c r="E29" s="58" t="s">
        <v>61</v>
      </c>
      <c r="F29" s="108"/>
      <c r="G29" s="60" t="s">
        <v>47</v>
      </c>
      <c r="H29" s="87" t="s">
        <v>64</v>
      </c>
      <c r="I29" s="88" t="s">
        <v>35</v>
      </c>
      <c r="J29" s="62" t="s">
        <v>62</v>
      </c>
      <c r="K29" s="62" t="s">
        <v>44</v>
      </c>
      <c r="L29" s="63" t="s">
        <v>61</v>
      </c>
      <c r="M29" s="89" t="s">
        <v>35</v>
      </c>
      <c r="N29" s="128"/>
      <c r="O29" s="90" t="s">
        <v>57</v>
      </c>
      <c r="P29" s="60" t="s">
        <v>68</v>
      </c>
      <c r="Q29" s="113" t="s">
        <v>38</v>
      </c>
      <c r="R29" s="114" t="s">
        <v>35</v>
      </c>
      <c r="S29" s="115"/>
      <c r="T29" s="114"/>
      <c r="U29" s="113" t="s">
        <v>62</v>
      </c>
      <c r="V29" s="68" t="s">
        <v>76</v>
      </c>
      <c r="W29" s="69" t="s">
        <v>109</v>
      </c>
      <c r="X29" s="91"/>
      <c r="Y29" s="76"/>
      <c r="Z29" s="136" t="s">
        <v>64</v>
      </c>
      <c r="AA29" s="68" t="s">
        <v>53</v>
      </c>
      <c r="AB29" s="75" t="s">
        <v>76</v>
      </c>
      <c r="AC29" s="68" t="s">
        <v>54</v>
      </c>
      <c r="AD29" s="75" t="s">
        <v>51</v>
      </c>
      <c r="AE29" s="131" t="s">
        <v>51</v>
      </c>
      <c r="AF29" s="70" t="s">
        <v>53</v>
      </c>
      <c r="AG29" s="94" t="s">
        <v>53</v>
      </c>
      <c r="AH29" s="138" t="s">
        <v>116</v>
      </c>
      <c r="AI29" s="70" t="s">
        <v>57</v>
      </c>
      <c r="AJ29" s="94" t="s">
        <v>57</v>
      </c>
      <c r="AK29" s="78" t="s">
        <v>68</v>
      </c>
      <c r="AL29" s="75" t="s">
        <v>58</v>
      </c>
      <c r="AM29" s="78" t="s">
        <v>46</v>
      </c>
      <c r="AN29" s="73"/>
      <c r="AO29" s="68" t="s">
        <v>56</v>
      </c>
      <c r="AP29" s="75" t="s">
        <v>56</v>
      </c>
      <c r="AQ29" s="79"/>
      <c r="AR29" s="45"/>
      <c r="AS29" s="54">
        <v>45988</v>
      </c>
      <c r="AT29" s="129"/>
      <c r="AU29" s="122"/>
      <c r="AV29" s="105"/>
      <c r="AW29" s="124"/>
      <c r="AX29" s="98"/>
      <c r="AY29" s="106"/>
      <c r="AZ29" s="54">
        <v>45988</v>
      </c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 t="s">
        <v>79</v>
      </c>
      <c r="BM29" s="85"/>
      <c r="BN29" s="85"/>
      <c r="BO29" s="85"/>
      <c r="BP29" s="85"/>
      <c r="BQ29" s="85"/>
      <c r="BR29" s="85"/>
      <c r="BS29" s="85" t="s">
        <v>89</v>
      </c>
      <c r="BT29" s="85"/>
      <c r="BU29" s="85"/>
      <c r="BV29" s="85"/>
      <c r="BW29" s="85"/>
      <c r="BX29" s="85"/>
      <c r="BY29" s="85"/>
      <c r="BZ29" s="85" t="s">
        <v>87</v>
      </c>
      <c r="CA29" s="85"/>
      <c r="CB29" s="86">
        <v>45988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5.75" x14ac:dyDescent="0.25">
      <c r="A30" s="54">
        <v>45989</v>
      </c>
      <c r="B30" s="55" t="s">
        <v>88</v>
      </c>
      <c r="C30" s="56"/>
      <c r="D30" s="57"/>
      <c r="E30" s="58" t="s">
        <v>61</v>
      </c>
      <c r="F30" s="59" t="s">
        <v>76</v>
      </c>
      <c r="G30" s="60" t="s">
        <v>61</v>
      </c>
      <c r="H30" s="61"/>
      <c r="I30" s="58" t="s">
        <v>91</v>
      </c>
      <c r="J30" s="62" t="s">
        <v>44</v>
      </c>
      <c r="K30" s="99" t="s">
        <v>58</v>
      </c>
      <c r="L30" s="63" t="s">
        <v>91</v>
      </c>
      <c r="M30" s="60" t="s">
        <v>44</v>
      </c>
      <c r="N30" s="130" t="s">
        <v>58</v>
      </c>
      <c r="O30" s="58" t="s">
        <v>51</v>
      </c>
      <c r="P30" s="60" t="s">
        <v>51</v>
      </c>
      <c r="Q30" s="113" t="s">
        <v>40</v>
      </c>
      <c r="R30" s="114" t="s">
        <v>58</v>
      </c>
      <c r="S30" s="115"/>
      <c r="T30" s="114"/>
      <c r="U30" s="113" t="s">
        <v>75</v>
      </c>
      <c r="V30" s="68" t="s">
        <v>52</v>
      </c>
      <c r="W30" s="69" t="s">
        <v>70</v>
      </c>
      <c r="X30" s="91"/>
      <c r="Y30" s="76"/>
      <c r="Z30" s="71" t="s">
        <v>54</v>
      </c>
      <c r="AA30" s="78" t="s">
        <v>62</v>
      </c>
      <c r="AB30" s="75" t="s">
        <v>62</v>
      </c>
      <c r="AC30" s="109"/>
      <c r="AD30" s="75" t="s">
        <v>52</v>
      </c>
      <c r="AE30" s="93" t="s">
        <v>65</v>
      </c>
      <c r="AF30" s="124" t="s">
        <v>45</v>
      </c>
      <c r="AG30" s="76"/>
      <c r="AH30" s="110" t="s">
        <v>67</v>
      </c>
      <c r="AI30" s="161" t="s">
        <v>121</v>
      </c>
      <c r="AJ30" s="76"/>
      <c r="AK30" s="78" t="s">
        <v>45</v>
      </c>
      <c r="AL30" s="75" t="s">
        <v>65</v>
      </c>
      <c r="AM30" s="72"/>
      <c r="AN30" s="75" t="s">
        <v>68</v>
      </c>
      <c r="AO30" s="68" t="s">
        <v>68</v>
      </c>
      <c r="AP30" s="75" t="s">
        <v>67</v>
      </c>
      <c r="AQ30" s="79"/>
      <c r="AR30" s="45"/>
      <c r="AS30" s="54">
        <v>45989</v>
      </c>
      <c r="AT30" s="129"/>
      <c r="AU30" s="97"/>
      <c r="AV30" s="82"/>
      <c r="AW30" s="106"/>
      <c r="AX30" s="106"/>
      <c r="AY30" s="98"/>
      <c r="AZ30" s="54">
        <v>45989</v>
      </c>
      <c r="BA30" s="85"/>
      <c r="BB30" s="85" t="s">
        <v>74</v>
      </c>
      <c r="BC30" s="85"/>
      <c r="BD30" s="85"/>
      <c r="BE30" s="85"/>
      <c r="BF30" s="85"/>
      <c r="BG30" s="85" t="s">
        <v>95</v>
      </c>
      <c r="BH30" s="85"/>
      <c r="BI30" s="85" t="s">
        <v>85</v>
      </c>
      <c r="BJ30" s="85"/>
      <c r="BK30" s="85"/>
      <c r="BL30" s="85"/>
      <c r="BM30" s="85"/>
      <c r="BN30" s="85"/>
      <c r="BO30" s="85"/>
      <c r="BP30" s="85"/>
      <c r="BQ30" s="85"/>
      <c r="BR30" s="85" t="s">
        <v>37</v>
      </c>
      <c r="BS30" s="85" t="s">
        <v>89</v>
      </c>
      <c r="BT30" s="85"/>
      <c r="BU30" s="85"/>
      <c r="BV30" s="85"/>
      <c r="BW30" s="85"/>
      <c r="BX30" s="85"/>
      <c r="BY30" s="85"/>
      <c r="BZ30" s="85" t="s">
        <v>87</v>
      </c>
      <c r="CA30" s="85" t="s">
        <v>33</v>
      </c>
      <c r="CB30" s="86">
        <v>45989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s="49" customFormat="1" ht="15.75" x14ac:dyDescent="0.25">
      <c r="A31" s="28">
        <v>45990</v>
      </c>
      <c r="B31" s="29" t="s">
        <v>30</v>
      </c>
      <c r="C31" s="30"/>
      <c r="D31" s="29"/>
      <c r="E31" s="31"/>
      <c r="F31" s="32"/>
      <c r="G31" s="32"/>
      <c r="H31" s="33"/>
      <c r="I31" s="34"/>
      <c r="J31" s="35"/>
      <c r="K31" s="35"/>
      <c r="L31" s="35"/>
      <c r="M31" s="32"/>
      <c r="N31" s="33"/>
      <c r="O31" s="164" t="s">
        <v>55</v>
      </c>
      <c r="P31" s="164"/>
      <c r="Q31" s="33" t="s">
        <v>75</v>
      </c>
      <c r="R31" s="36" t="s">
        <v>70</v>
      </c>
      <c r="S31" s="37"/>
      <c r="T31" s="36" t="s">
        <v>75</v>
      </c>
      <c r="U31" s="33" t="s">
        <v>70</v>
      </c>
      <c r="V31" s="38"/>
      <c r="W31" s="39"/>
      <c r="X31" s="39"/>
      <c r="Y31" s="40"/>
      <c r="Z31" s="41"/>
      <c r="AA31" s="42"/>
      <c r="AB31" s="40"/>
      <c r="AC31" s="38"/>
      <c r="AD31" s="40"/>
      <c r="AE31" s="42"/>
      <c r="AF31" s="39"/>
      <c r="AG31" s="40"/>
      <c r="AH31" s="38"/>
      <c r="AI31" s="39"/>
      <c r="AJ31" s="40"/>
      <c r="AK31" s="42"/>
      <c r="AL31" s="40"/>
      <c r="AM31" s="43"/>
      <c r="AN31" s="33"/>
      <c r="AO31" s="38"/>
      <c r="AP31" s="40"/>
      <c r="AQ31" s="44"/>
      <c r="AR31" s="45"/>
      <c r="AS31" s="28">
        <v>45990</v>
      </c>
      <c r="AT31" s="42"/>
      <c r="AU31" s="46"/>
      <c r="AV31" s="42"/>
      <c r="AW31" s="46"/>
      <c r="AX31" s="46"/>
      <c r="AY31" s="46"/>
      <c r="AZ31" s="28">
        <v>45990</v>
      </c>
      <c r="BA31" s="47"/>
      <c r="BB31" s="47" t="s">
        <v>74</v>
      </c>
      <c r="BC31" s="47"/>
      <c r="BD31" s="47"/>
      <c r="BE31" s="47"/>
      <c r="BF31" s="47"/>
      <c r="BG31" s="47"/>
      <c r="BH31" s="47"/>
      <c r="BI31" s="47"/>
      <c r="BJ31" s="47"/>
      <c r="BK31" s="47"/>
      <c r="BL31" s="47" t="s">
        <v>79</v>
      </c>
      <c r="BM31" s="47"/>
      <c r="BN31" s="47"/>
      <c r="BO31" s="47"/>
      <c r="BP31" s="47"/>
      <c r="BQ31" s="47"/>
      <c r="BR31" s="47" t="s">
        <v>37</v>
      </c>
      <c r="BS31" s="47" t="s">
        <v>89</v>
      </c>
      <c r="BT31" s="47"/>
      <c r="BU31" s="47"/>
      <c r="BV31" s="47"/>
      <c r="BW31" s="47" t="s">
        <v>38</v>
      </c>
      <c r="BX31" s="47"/>
      <c r="BY31" s="47"/>
      <c r="BZ31" s="47"/>
      <c r="CA31" s="47" t="s">
        <v>33</v>
      </c>
      <c r="CB31" s="48">
        <v>45990</v>
      </c>
    </row>
    <row r="32" spans="1:1009" s="49" customFormat="1" ht="15.75" x14ac:dyDescent="0.25">
      <c r="A32" s="28">
        <v>45991</v>
      </c>
      <c r="B32" s="29" t="s">
        <v>39</v>
      </c>
      <c r="C32" s="30"/>
      <c r="D32" s="29"/>
      <c r="E32" s="31"/>
      <c r="F32" s="32"/>
      <c r="G32" s="32"/>
      <c r="H32" s="33"/>
      <c r="I32" s="34"/>
      <c r="J32" s="35"/>
      <c r="K32" s="35"/>
      <c r="L32" s="35"/>
      <c r="M32" s="32"/>
      <c r="N32" s="33"/>
      <c r="O32" s="164" t="s">
        <v>40</v>
      </c>
      <c r="P32" s="164"/>
      <c r="Q32" s="33" t="s">
        <v>55</v>
      </c>
      <c r="R32" s="36" t="s">
        <v>36</v>
      </c>
      <c r="S32" s="37"/>
      <c r="T32" s="36" t="s">
        <v>75</v>
      </c>
      <c r="U32" s="33" t="s">
        <v>75</v>
      </c>
      <c r="V32" s="38"/>
      <c r="W32" s="39"/>
      <c r="X32" s="39"/>
      <c r="Y32" s="40"/>
      <c r="Z32" s="41"/>
      <c r="AA32" s="50"/>
      <c r="AB32" s="40"/>
      <c r="AC32" s="38"/>
      <c r="AD32" s="40"/>
      <c r="AE32" s="42"/>
      <c r="AF32" s="39"/>
      <c r="AG32" s="40"/>
      <c r="AH32" s="50"/>
      <c r="AI32" s="51"/>
      <c r="AJ32" s="52"/>
      <c r="AK32" s="42"/>
      <c r="AL32" s="53"/>
      <c r="AM32" s="50"/>
      <c r="AN32" s="52"/>
      <c r="AO32" s="38"/>
      <c r="AP32" s="40"/>
      <c r="AQ32" s="44"/>
      <c r="AR32" s="45"/>
      <c r="AS32" s="28">
        <v>45991</v>
      </c>
      <c r="AT32" s="42"/>
      <c r="AU32" s="46"/>
      <c r="AV32" s="42"/>
      <c r="AW32" s="46"/>
      <c r="AX32" s="46"/>
      <c r="AY32" s="46"/>
      <c r="AZ32" s="28">
        <v>45991</v>
      </c>
      <c r="BA32" s="47"/>
      <c r="BB32" s="47" t="s">
        <v>74</v>
      </c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 t="s">
        <v>37</v>
      </c>
      <c r="BS32" s="47" t="s">
        <v>89</v>
      </c>
      <c r="BT32" s="47"/>
      <c r="BU32" s="47"/>
      <c r="BV32" s="47"/>
      <c r="BW32" s="47" t="s">
        <v>38</v>
      </c>
      <c r="BX32" s="47"/>
      <c r="BY32" s="47"/>
      <c r="BZ32" s="47"/>
      <c r="CA32" s="47"/>
      <c r="CB32" s="48">
        <v>45991</v>
      </c>
    </row>
    <row r="36" spans="5:6" x14ac:dyDescent="0.25">
      <c r="E36" t="s">
        <v>74</v>
      </c>
      <c r="F36">
        <f>COUNTIF(E5:H30,"GAS")</f>
        <v>10</v>
      </c>
    </row>
    <row r="37" spans="5:6" x14ac:dyDescent="0.25">
      <c r="E37" t="s">
        <v>32</v>
      </c>
      <c r="F37">
        <f>COUNTIF(E5:H30,"CRISCIONE")</f>
        <v>7</v>
      </c>
    </row>
    <row r="38" spans="5:6" x14ac:dyDescent="0.25">
      <c r="E38" t="s">
        <v>75</v>
      </c>
      <c r="F38">
        <f>COUNTIF(E5:H30,"GOR")</f>
        <v>9</v>
      </c>
    </row>
    <row r="39" spans="5:6" x14ac:dyDescent="0.25">
      <c r="E39" t="s">
        <v>43</v>
      </c>
      <c r="F39">
        <v>10</v>
      </c>
    </row>
    <row r="40" spans="5:6" x14ac:dyDescent="0.25">
      <c r="E40" t="s">
        <v>35</v>
      </c>
      <c r="F40">
        <f>COUNTIF(E5:H30,"PIZ")</f>
        <v>4</v>
      </c>
    </row>
    <row r="41" spans="5:6" x14ac:dyDescent="0.25">
      <c r="E41" t="s">
        <v>105</v>
      </c>
      <c r="F41">
        <f>COUNTIF(E5:H30,"DEL")</f>
        <v>10</v>
      </c>
    </row>
    <row r="42" spans="5:6" x14ac:dyDescent="0.25">
      <c r="E42" t="s">
        <v>40</v>
      </c>
      <c r="F42">
        <f>COUNTIF(E5:H30,"SISINNI")</f>
        <v>6</v>
      </c>
    </row>
    <row r="43" spans="5:6" x14ac:dyDescent="0.25">
      <c r="E43" t="s">
        <v>37</v>
      </c>
      <c r="F43">
        <f>COUNTIF(E5:H30,"SQUILLO")</f>
        <v>8</v>
      </c>
    </row>
  </sheetData>
  <mergeCells count="32">
    <mergeCell ref="R1:S1"/>
    <mergeCell ref="A1:B2"/>
    <mergeCell ref="C1:D1"/>
    <mergeCell ref="E1:H1"/>
    <mergeCell ref="I1:N1"/>
    <mergeCell ref="O1:Q1"/>
    <mergeCell ref="AK1:AL1"/>
    <mergeCell ref="AM1:AN1"/>
    <mergeCell ref="AO1:AP1"/>
    <mergeCell ref="AT1:AY1"/>
    <mergeCell ref="E2:F2"/>
    <mergeCell ref="G2:H2"/>
    <mergeCell ref="I2:K2"/>
    <mergeCell ref="L2:N2"/>
    <mergeCell ref="AT2:AU2"/>
    <mergeCell ref="AV2:AY2"/>
    <mergeCell ref="T1:U1"/>
    <mergeCell ref="V1:Y1"/>
    <mergeCell ref="AA1:AB1"/>
    <mergeCell ref="AC1:AD1"/>
    <mergeCell ref="AE1:AG1"/>
    <mergeCell ref="AH1:AJ1"/>
    <mergeCell ref="O24:P24"/>
    <mergeCell ref="O25:P25"/>
    <mergeCell ref="O31:P31"/>
    <mergeCell ref="O32:P32"/>
    <mergeCell ref="O3:P3"/>
    <mergeCell ref="O4:P4"/>
    <mergeCell ref="O10:P10"/>
    <mergeCell ref="O11:P11"/>
    <mergeCell ref="O17:P17"/>
    <mergeCell ref="O18:P18"/>
  </mergeCells>
  <pageMargins left="0.25" right="0.25" top="0.75" bottom="0.75" header="0.3" footer="0.3"/>
  <pageSetup paperSize="9" scale="10"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Policlinico San Donato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Pizzocri</dc:creator>
  <cp:lastModifiedBy>Annapaola Ragione</cp:lastModifiedBy>
  <cp:lastPrinted>2025-10-23T09:23:17Z</cp:lastPrinted>
  <dcterms:created xsi:type="dcterms:W3CDTF">2025-10-17T10:24:14Z</dcterms:created>
  <dcterms:modified xsi:type="dcterms:W3CDTF">2025-11-04T11:46:55Z</dcterms:modified>
</cp:coreProperties>
</file>